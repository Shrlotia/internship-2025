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hrlotia/Documents/Intern/ir_decode/"/>
    </mc:Choice>
  </mc:AlternateContent>
  <xr:revisionPtr revIDLastSave="0" documentId="13_ncr:1_{3271C6C9-D3FF-7245-AE94-D2382B8AC2A0}" xr6:coauthVersionLast="47" xr6:coauthVersionMax="47" xr10:uidLastSave="{00000000-0000-0000-0000-000000000000}"/>
  <bookViews>
    <workbookView xWindow="0" yWindow="500" windowWidth="28800" windowHeight="16340" activeTab="3" xr2:uid="{0A99A1BF-85BE-1D49-AF2D-F4D0B5A39FC3}"/>
  </bookViews>
  <sheets>
    <sheet name="AUTO" sheetId="1" r:id="rId1"/>
    <sheet name="HEAT" sheetId="2" r:id="rId2"/>
    <sheet name="COOL" sheetId="3" r:id="rId3"/>
    <sheet name="DRY" sheetId="4" r:id="rId4"/>
    <sheet name="EXTRA" sheetId="10" r:id="rId5"/>
    <sheet name="DECODE" sheetId="5" r:id="rId6"/>
    <sheet name="DECODEMAP" sheetId="9" r:id="rId7"/>
    <sheet name="Re_test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" i="4" l="1" a="1"/>
  <c r="K59" i="4" s="1"/>
  <c r="H59" i="4" a="1"/>
  <c r="H59" i="4" s="1"/>
  <c r="I59" i="4" s="1"/>
  <c r="J59" i="4" s="1"/>
  <c r="K21" i="10" a="1"/>
  <c r="K21" i="10" s="1"/>
  <c r="H21" i="10" a="1"/>
  <c r="H21" i="10" s="1"/>
  <c r="I21" i="10" s="1"/>
  <c r="J21" i="10" s="1"/>
  <c r="K20" i="10" a="1"/>
  <c r="K20" i="10" s="1"/>
  <c r="H20" i="10" a="1"/>
  <c r="H20" i="10" s="1"/>
  <c r="I20" i="10" s="1"/>
  <c r="K19" i="10" a="1"/>
  <c r="K19" i="10" s="1"/>
  <c r="H19" i="10" a="1"/>
  <c r="H19" i="10" s="1"/>
  <c r="I19" i="10" s="1"/>
  <c r="J19" i="10" s="1"/>
  <c r="K18" i="10" a="1"/>
  <c r="K18" i="10" s="1"/>
  <c r="H18" i="10" a="1"/>
  <c r="H18" i="10" s="1"/>
  <c r="I18" i="10" s="1"/>
  <c r="H3" i="10" a="1"/>
  <c r="H3" i="10" s="1"/>
  <c r="I3" i="10" s="1"/>
  <c r="H4" i="10" a="1"/>
  <c r="H4" i="10" s="1"/>
  <c r="H5" i="10" a="1"/>
  <c r="H5" i="10" s="1"/>
  <c r="H7" i="10" a="1"/>
  <c r="H7" i="10" s="1"/>
  <c r="H8" i="10" a="1"/>
  <c r="H8" i="10" s="1"/>
  <c r="H9" i="10" a="1"/>
  <c r="H9" i="10" s="1"/>
  <c r="H10" i="10" a="1"/>
  <c r="H10" i="10" s="1"/>
  <c r="H11" i="10" a="1"/>
  <c r="H11" i="10" s="1"/>
  <c r="H12" i="10" a="1"/>
  <c r="H12" i="10" s="1"/>
  <c r="H13" i="10" a="1"/>
  <c r="H13" i="10" s="1"/>
  <c r="H14" i="10" a="1"/>
  <c r="H14" i="10" s="1"/>
  <c r="H15" i="10" a="1"/>
  <c r="H15" i="10" s="1"/>
  <c r="H16" i="10" a="1"/>
  <c r="H16" i="10" s="1"/>
  <c r="H2" i="10" a="1"/>
  <c r="H2" i="10" s="1"/>
  <c r="I2" i="10" s="1"/>
  <c r="J2" i="10" s="1"/>
  <c r="H3" i="4" a="1"/>
  <c r="H3" i="4" s="1"/>
  <c r="H5" i="4" a="1"/>
  <c r="H5" i="4" s="1"/>
  <c r="H6" i="4" a="1"/>
  <c r="H6" i="4"/>
  <c r="H7" i="4" a="1"/>
  <c r="H7" i="4" s="1"/>
  <c r="H8" i="4" a="1"/>
  <c r="H8" i="4" s="1"/>
  <c r="H9" i="4" a="1"/>
  <c r="H9" i="4" s="1"/>
  <c r="H10" i="4" a="1"/>
  <c r="H10" i="4"/>
  <c r="H11" i="4" a="1"/>
  <c r="H11" i="4" s="1"/>
  <c r="H12" i="4" a="1"/>
  <c r="H12" i="4" s="1"/>
  <c r="H13" i="4" a="1"/>
  <c r="H13" i="4" s="1"/>
  <c r="H14" i="4" a="1"/>
  <c r="H14" i="4"/>
  <c r="H15" i="4" a="1"/>
  <c r="H15" i="4" s="1"/>
  <c r="H16" i="4" a="1"/>
  <c r="H16" i="4" s="1"/>
  <c r="H17" i="4" a="1"/>
  <c r="H17" i="4" s="1"/>
  <c r="H18" i="4" a="1"/>
  <c r="H18" i="4"/>
  <c r="H19" i="4" a="1"/>
  <c r="H19" i="4" s="1"/>
  <c r="H20" i="4" a="1"/>
  <c r="H20" i="4" s="1"/>
  <c r="H21" i="4" a="1"/>
  <c r="H21" i="4" s="1"/>
  <c r="H22" i="4" a="1"/>
  <c r="H22" i="4"/>
  <c r="H23" i="4" a="1"/>
  <c r="H23" i="4" s="1"/>
  <c r="H24" i="4" a="1"/>
  <c r="H24" i="4" s="1"/>
  <c r="H25" i="4" a="1"/>
  <c r="H25" i="4" s="1"/>
  <c r="H26" i="4" a="1"/>
  <c r="H26" i="4"/>
  <c r="H27" i="4" a="1"/>
  <c r="H27" i="4" s="1"/>
  <c r="H28" i="4" a="1"/>
  <c r="H28" i="4" s="1"/>
  <c r="H29" i="4" a="1"/>
  <c r="H29" i="4" s="1"/>
  <c r="H30" i="4" a="1"/>
  <c r="H30" i="4"/>
  <c r="H31" i="4" a="1"/>
  <c r="H31" i="4" s="1"/>
  <c r="H32" i="4" a="1"/>
  <c r="H32" i="4" s="1"/>
  <c r="H33" i="4" a="1"/>
  <c r="H33" i="4" s="1"/>
  <c r="H35" i="4" a="1"/>
  <c r="H35" i="4" s="1"/>
  <c r="H36" i="4" a="1"/>
  <c r="H36" i="4" s="1"/>
  <c r="H37" i="4" a="1"/>
  <c r="H37" i="4" s="1"/>
  <c r="H38" i="4" a="1"/>
  <c r="H38" i="4"/>
  <c r="H39" i="4" a="1"/>
  <c r="H39" i="4" s="1"/>
  <c r="H40" i="4" a="1"/>
  <c r="H40" i="4" s="1"/>
  <c r="H42" i="4" a="1"/>
  <c r="H42" i="4"/>
  <c r="H43" i="4" a="1"/>
  <c r="H43" i="4" s="1"/>
  <c r="H45" i="4" a="1"/>
  <c r="H45" i="4" s="1"/>
  <c r="H46" i="4" a="1"/>
  <c r="H46" i="4"/>
  <c r="H47" i="4" a="1"/>
  <c r="H47" i="4" s="1"/>
  <c r="H48" i="4" a="1"/>
  <c r="H48" i="4" s="1"/>
  <c r="H49" i="4" a="1"/>
  <c r="H49" i="4" s="1"/>
  <c r="H50" i="4" a="1"/>
  <c r="H50" i="4"/>
  <c r="H52" i="4" a="1"/>
  <c r="H52" i="4" s="1"/>
  <c r="H53" i="4" a="1"/>
  <c r="H53" i="4" s="1"/>
  <c r="H54" i="4" a="1"/>
  <c r="H54" i="4"/>
  <c r="H55" i="4" a="1"/>
  <c r="H55" i="4" s="1"/>
  <c r="H56" i="4" a="1"/>
  <c r="H56" i="4" s="1"/>
  <c r="H57" i="4" a="1"/>
  <c r="H57" i="4" s="1"/>
  <c r="H2" i="4" a="1"/>
  <c r="H2" i="4" s="1"/>
  <c r="H3" i="3" a="1"/>
  <c r="H3" i="3" s="1"/>
  <c r="H5" i="3" a="1"/>
  <c r="H5" i="3" s="1"/>
  <c r="H6" i="3" a="1"/>
  <c r="H6" i="3"/>
  <c r="H7" i="3" a="1"/>
  <c r="H7" i="3" s="1"/>
  <c r="H8" i="3" a="1"/>
  <c r="H8" i="3" s="1"/>
  <c r="H9" i="3" a="1"/>
  <c r="H9" i="3" s="1"/>
  <c r="H10" i="3" a="1"/>
  <c r="H10" i="3"/>
  <c r="H11" i="3" a="1"/>
  <c r="H11" i="3" s="1"/>
  <c r="H12" i="3" a="1"/>
  <c r="H12" i="3" s="1"/>
  <c r="H13" i="3" a="1"/>
  <c r="H13" i="3" s="1"/>
  <c r="H14" i="3" a="1"/>
  <c r="H14" i="3"/>
  <c r="H15" i="3" a="1"/>
  <c r="H15" i="3" s="1"/>
  <c r="H16" i="3" a="1"/>
  <c r="H16" i="3" s="1"/>
  <c r="H17" i="3" a="1"/>
  <c r="H17" i="3" s="1"/>
  <c r="H18" i="3" a="1"/>
  <c r="H18" i="3"/>
  <c r="H19" i="3" a="1"/>
  <c r="H19" i="3" s="1"/>
  <c r="H20" i="3" a="1"/>
  <c r="H20" i="3" s="1"/>
  <c r="H21" i="3" a="1"/>
  <c r="H21" i="3" s="1"/>
  <c r="H22" i="3" a="1"/>
  <c r="H22" i="3"/>
  <c r="H23" i="3" a="1"/>
  <c r="H23" i="3" s="1"/>
  <c r="H24" i="3" a="1"/>
  <c r="H24" i="3" s="1"/>
  <c r="H25" i="3" a="1"/>
  <c r="H25" i="3" s="1"/>
  <c r="H26" i="3" a="1"/>
  <c r="H26" i="3"/>
  <c r="H27" i="3" a="1"/>
  <c r="H27" i="3" s="1"/>
  <c r="H28" i="3" a="1"/>
  <c r="H28" i="3" s="1"/>
  <c r="H29" i="3" a="1"/>
  <c r="H29" i="3" s="1"/>
  <c r="H30" i="3" a="1"/>
  <c r="H30" i="3"/>
  <c r="H31" i="3" a="1"/>
  <c r="H31" i="3" s="1"/>
  <c r="H32" i="3" a="1"/>
  <c r="H32" i="3" s="1"/>
  <c r="H33" i="3" a="1"/>
  <c r="H33" i="3" s="1"/>
  <c r="H35" i="3" a="1"/>
  <c r="H35" i="3" s="1"/>
  <c r="H36" i="3" a="1"/>
  <c r="H36" i="3" s="1"/>
  <c r="H37" i="3" a="1"/>
  <c r="H37" i="3" s="1"/>
  <c r="H38" i="3" a="1"/>
  <c r="H38" i="3"/>
  <c r="H39" i="3" a="1"/>
  <c r="H39" i="3" s="1"/>
  <c r="H40" i="3" a="1"/>
  <c r="H40" i="3" s="1"/>
  <c r="H42" i="3" a="1"/>
  <c r="H42" i="3"/>
  <c r="H43" i="3" a="1"/>
  <c r="H43" i="3" s="1"/>
  <c r="H45" i="3" a="1"/>
  <c r="H45" i="3" s="1"/>
  <c r="H46" i="3" a="1"/>
  <c r="H46" i="3"/>
  <c r="H47" i="3" a="1"/>
  <c r="H47" i="3" s="1"/>
  <c r="H48" i="3" a="1"/>
  <c r="H48" i="3" s="1"/>
  <c r="H49" i="3" a="1"/>
  <c r="H49" i="3" s="1"/>
  <c r="H50" i="3" a="1"/>
  <c r="H50" i="3"/>
  <c r="H52" i="3" a="1"/>
  <c r="H52" i="3" s="1"/>
  <c r="H53" i="3" a="1"/>
  <c r="H53" i="3" s="1"/>
  <c r="H54" i="3" a="1"/>
  <c r="H54" i="3" s="1"/>
  <c r="H55" i="3" a="1"/>
  <c r="H55" i="3" s="1"/>
  <c r="H56" i="3" a="1"/>
  <c r="H56" i="3" s="1"/>
  <c r="H57" i="3" a="1"/>
  <c r="H57" i="3" s="1"/>
  <c r="H2" i="3" a="1"/>
  <c r="H2" i="3" s="1"/>
  <c r="H3" i="2" a="1"/>
  <c r="H3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2" i="2" a="1"/>
  <c r="H42" i="2" s="1"/>
  <c r="H43" i="2" a="1"/>
  <c r="H43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2" i="2" a="1"/>
  <c r="H2" i="2" s="1"/>
  <c r="H3" i="1" a="1"/>
  <c r="H3" i="1" s="1"/>
  <c r="H5" i="1" a="1"/>
  <c r="H5" i="1" s="1"/>
  <c r="H6" i="1" a="1"/>
  <c r="H6" i="1" s="1"/>
  <c r="H7" i="1" a="1"/>
  <c r="H7" i="1" s="1"/>
  <c r="H8" i="1" a="1"/>
  <c r="H8" i="1"/>
  <c r="H9" i="1" a="1"/>
  <c r="H9" i="1" s="1"/>
  <c r="H10" i="1" a="1"/>
  <c r="H10" i="1" s="1"/>
  <c r="H11" i="1" a="1"/>
  <c r="H11" i="1" s="1"/>
  <c r="H12" i="1" a="1"/>
  <c r="H12" i="1"/>
  <c r="H13" i="1" a="1"/>
  <c r="H13" i="1" s="1"/>
  <c r="H14" i="1" a="1"/>
  <c r="H14" i="1" s="1"/>
  <c r="H15" i="1" a="1"/>
  <c r="H15" i="1" s="1"/>
  <c r="H16" i="1" a="1"/>
  <c r="H16" i="1"/>
  <c r="H17" i="1" a="1"/>
  <c r="H17" i="1" s="1"/>
  <c r="H18" i="1" a="1"/>
  <c r="H18" i="1" s="1"/>
  <c r="H19" i="1" a="1"/>
  <c r="H19" i="1" s="1"/>
  <c r="H20" i="1" a="1"/>
  <c r="H20" i="1"/>
  <c r="H21" i="1" a="1"/>
  <c r="H21" i="1" s="1"/>
  <c r="H22" i="1" a="1"/>
  <c r="H22" i="1" s="1"/>
  <c r="H23" i="1" a="1"/>
  <c r="H23" i="1" s="1"/>
  <c r="H24" i="1" a="1"/>
  <c r="H24" i="1"/>
  <c r="H25" i="1" a="1"/>
  <c r="H25" i="1" s="1"/>
  <c r="H26" i="1" a="1"/>
  <c r="H26" i="1" s="1"/>
  <c r="H27" i="1" a="1"/>
  <c r="H27" i="1" s="1"/>
  <c r="H28" i="1" a="1"/>
  <c r="H28" i="1"/>
  <c r="H29" i="1" a="1"/>
  <c r="H29" i="1" s="1"/>
  <c r="H30" i="1" a="1"/>
  <c r="H30" i="1" s="1"/>
  <c r="H31" i="1" a="1"/>
  <c r="H31" i="1" s="1"/>
  <c r="H32" i="1" a="1"/>
  <c r="H32" i="1"/>
  <c r="H33" i="1" a="1"/>
  <c r="H33" i="1" s="1"/>
  <c r="H35" i="1" a="1"/>
  <c r="H35" i="1" s="1"/>
  <c r="H36" i="1" a="1"/>
  <c r="H36" i="1"/>
  <c r="H37" i="1" a="1"/>
  <c r="H37" i="1" s="1"/>
  <c r="H38" i="1" a="1"/>
  <c r="H38" i="1" s="1"/>
  <c r="H39" i="1" a="1"/>
  <c r="H39" i="1" s="1"/>
  <c r="H40" i="1" a="1"/>
  <c r="H40" i="1"/>
  <c r="H42" i="1" a="1"/>
  <c r="H42" i="1" s="1"/>
  <c r="H43" i="1" a="1"/>
  <c r="H43" i="1" s="1"/>
  <c r="H45" i="1" a="1"/>
  <c r="H45" i="1" s="1"/>
  <c r="H46" i="1" a="1"/>
  <c r="H46" i="1" s="1"/>
  <c r="H47" i="1" a="1"/>
  <c r="H47" i="1" s="1"/>
  <c r="H48" i="1" a="1"/>
  <c r="H48" i="1"/>
  <c r="H49" i="1" a="1"/>
  <c r="H49" i="1" s="1"/>
  <c r="H50" i="1" a="1"/>
  <c r="H50" i="1" s="1"/>
  <c r="H52" i="1" a="1"/>
  <c r="H52" i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2" i="1" a="1"/>
  <c r="H2" i="1" s="1"/>
  <c r="K2" i="10" a="1"/>
  <c r="K2" i="10" s="1"/>
  <c r="K3" i="10" a="1"/>
  <c r="J20" i="10" l="1"/>
  <c r="J18" i="10"/>
  <c r="J3" i="10"/>
  <c r="K3" i="10"/>
  <c r="I4" i="10"/>
  <c r="K4" i="10" a="1"/>
  <c r="J4" i="10" l="1"/>
  <c r="K4" i="10"/>
  <c r="I5" i="10"/>
  <c r="K5" i="10" a="1"/>
  <c r="K5" i="10" s="1"/>
  <c r="I7" i="10"/>
  <c r="K7" i="10" a="1"/>
  <c r="K7" i="10" s="1"/>
  <c r="I8" i="10"/>
  <c r="K8" i="10" a="1"/>
  <c r="K8" i="10" s="1"/>
  <c r="I9" i="10"/>
  <c r="K9" i="10" a="1"/>
  <c r="K9" i="10" s="1"/>
  <c r="I10" i="10"/>
  <c r="K10" i="10" a="1"/>
  <c r="K10" i="10" s="1"/>
  <c r="I11" i="10"/>
  <c r="K11" i="10" a="1"/>
  <c r="K11" i="10" s="1"/>
  <c r="I12" i="10"/>
  <c r="J12" i="10" s="1"/>
  <c r="K12" i="10" a="1"/>
  <c r="K12" i="10" s="1"/>
  <c r="I13" i="10"/>
  <c r="K13" i="10" a="1"/>
  <c r="K13" i="10" s="1"/>
  <c r="I14" i="10"/>
  <c r="K14" i="10" a="1"/>
  <c r="K14" i="10" s="1"/>
  <c r="I15" i="10"/>
  <c r="K15" i="10" a="1"/>
  <c r="K15" i="10" s="1"/>
  <c r="I16" i="10"/>
  <c r="K16" i="10" a="1"/>
  <c r="K16" i="10" s="1"/>
  <c r="J15" i="10" l="1"/>
  <c r="J8" i="10"/>
  <c r="J11" i="10"/>
  <c r="J10" i="10"/>
  <c r="J14" i="10"/>
  <c r="J16" i="10"/>
  <c r="J7" i="10"/>
  <c r="J13" i="10"/>
  <c r="J9" i="10"/>
  <c r="J5" i="10"/>
  <c r="K57" i="4" a="1"/>
  <c r="K57" i="4" s="1"/>
  <c r="K56" i="4" a="1"/>
  <c r="K56" i="4" s="1"/>
  <c r="K55" i="4" a="1"/>
  <c r="K55" i="4" s="1"/>
  <c r="K54" i="4" a="1"/>
  <c r="K54" i="4" s="1"/>
  <c r="K53" i="4" a="1"/>
  <c r="K53" i="4" s="1"/>
  <c r="K52" i="4" a="1"/>
  <c r="K52" i="4" s="1"/>
  <c r="K50" i="4" a="1"/>
  <c r="K50" i="4" s="1"/>
  <c r="K49" i="4" a="1"/>
  <c r="K49" i="4" s="1"/>
  <c r="K48" i="4" a="1"/>
  <c r="K48" i="4" s="1"/>
  <c r="K47" i="4" a="1"/>
  <c r="K47" i="4" s="1"/>
  <c r="K46" i="4" a="1"/>
  <c r="K46" i="4" s="1"/>
  <c r="K45" i="4" a="1"/>
  <c r="K45" i="4" s="1"/>
  <c r="K43" i="4" a="1"/>
  <c r="K43" i="4" s="1"/>
  <c r="K42" i="4" a="1"/>
  <c r="K42" i="4" s="1"/>
  <c r="K40" i="4" a="1"/>
  <c r="K40" i="4" s="1"/>
  <c r="K39" i="4" a="1"/>
  <c r="K39" i="4" s="1"/>
  <c r="K38" i="4" a="1"/>
  <c r="K38" i="4" s="1"/>
  <c r="K37" i="4" a="1"/>
  <c r="K37" i="4" s="1"/>
  <c r="K36" i="4" a="1"/>
  <c r="K36" i="4" s="1"/>
  <c r="K35" i="4" a="1"/>
  <c r="K35" i="4" s="1"/>
  <c r="K33" i="4" a="1"/>
  <c r="K33" i="4" s="1"/>
  <c r="K32" i="4" a="1"/>
  <c r="K32" i="4" s="1"/>
  <c r="K31" i="4"/>
  <c r="K31" i="4" a="1"/>
  <c r="K30" i="4" a="1"/>
  <c r="K30" i="4" s="1"/>
  <c r="K29" i="4" a="1"/>
  <c r="K29" i="4" s="1"/>
  <c r="K28" i="4" a="1"/>
  <c r="K28" i="4" s="1"/>
  <c r="K27" i="4" a="1"/>
  <c r="K27" i="4" s="1"/>
  <c r="K26" i="4" a="1"/>
  <c r="K26" i="4" s="1"/>
  <c r="K25" i="4" a="1"/>
  <c r="K25" i="4" s="1"/>
  <c r="K24" i="4" a="1"/>
  <c r="K24" i="4" s="1"/>
  <c r="K23" i="4" a="1"/>
  <c r="K23" i="4" s="1"/>
  <c r="K22" i="4" a="1"/>
  <c r="K22" i="4" s="1"/>
  <c r="K21" i="4" a="1"/>
  <c r="K21" i="4" s="1"/>
  <c r="K20" i="4" a="1"/>
  <c r="K20" i="4" s="1"/>
  <c r="K19" i="4" a="1"/>
  <c r="K19" i="4" s="1"/>
  <c r="K18" i="4" a="1"/>
  <c r="K18" i="4" s="1"/>
  <c r="K17" i="4" a="1"/>
  <c r="K17" i="4" s="1"/>
  <c r="K16" i="4" a="1"/>
  <c r="K16" i="4" s="1"/>
  <c r="K15" i="4" a="1"/>
  <c r="K15" i="4" s="1"/>
  <c r="K14" i="4" a="1"/>
  <c r="K14" i="4" s="1"/>
  <c r="K13" i="4" a="1"/>
  <c r="K13" i="4" s="1"/>
  <c r="K12" i="4" a="1"/>
  <c r="K12" i="4" s="1"/>
  <c r="K11" i="4" a="1"/>
  <c r="K11" i="4" s="1"/>
  <c r="K10" i="4" a="1"/>
  <c r="K10" i="4" s="1"/>
  <c r="K9" i="4" a="1"/>
  <c r="K9" i="4" s="1"/>
  <c r="K8" i="4" a="1"/>
  <c r="K8" i="4" s="1"/>
  <c r="K7" i="4" a="1"/>
  <c r="K7" i="4" s="1"/>
  <c r="K6" i="4" a="1"/>
  <c r="K6" i="4" s="1"/>
  <c r="K5" i="4" a="1"/>
  <c r="K5" i="4" s="1"/>
  <c r="K3" i="4" a="1"/>
  <c r="K3" i="4" s="1"/>
  <c r="K2" i="4" a="1"/>
  <c r="K2" i="4" s="1"/>
  <c r="K57" i="3" a="1"/>
  <c r="K57" i="3" s="1"/>
  <c r="K56" i="3" a="1"/>
  <c r="K56" i="3" s="1"/>
  <c r="K55" i="3" a="1"/>
  <c r="K55" i="3" s="1"/>
  <c r="K54" i="3" a="1"/>
  <c r="K54" i="3" s="1"/>
  <c r="K53" i="3" a="1"/>
  <c r="K53" i="3" s="1"/>
  <c r="K52" i="3" a="1"/>
  <c r="K52" i="3" s="1"/>
  <c r="K50" i="3" a="1"/>
  <c r="K50" i="3" s="1"/>
  <c r="K49" i="3" a="1"/>
  <c r="K49" i="3" s="1"/>
  <c r="K48" i="3" a="1"/>
  <c r="K48" i="3" s="1"/>
  <c r="K47" i="3" a="1"/>
  <c r="K47" i="3" s="1"/>
  <c r="K46" i="3" a="1"/>
  <c r="K46" i="3" s="1"/>
  <c r="K45" i="3" a="1"/>
  <c r="K45" i="3" s="1"/>
  <c r="K43" i="3" a="1"/>
  <c r="K43" i="3" s="1"/>
  <c r="K42" i="3" a="1"/>
  <c r="K42" i="3" s="1"/>
  <c r="K40" i="3" a="1"/>
  <c r="K40" i="3" s="1"/>
  <c r="K39" i="3" a="1"/>
  <c r="K39" i="3" s="1"/>
  <c r="K38" i="3" a="1"/>
  <c r="K38" i="3" s="1"/>
  <c r="K37" i="3" a="1"/>
  <c r="K37" i="3" s="1"/>
  <c r="K36" i="3" a="1"/>
  <c r="K36" i="3" s="1"/>
  <c r="K35" i="3" a="1"/>
  <c r="K35" i="3" s="1"/>
  <c r="K33" i="3" a="1"/>
  <c r="K33" i="3" s="1"/>
  <c r="K32" i="3" a="1"/>
  <c r="K32" i="3" s="1"/>
  <c r="K31" i="3" a="1"/>
  <c r="K31" i="3" s="1"/>
  <c r="K30" i="3" a="1"/>
  <c r="K30" i="3" s="1"/>
  <c r="K29" i="3" a="1"/>
  <c r="K29" i="3" s="1"/>
  <c r="K28" i="3" a="1"/>
  <c r="K28" i="3" s="1"/>
  <c r="K27" i="3" a="1"/>
  <c r="K27" i="3" s="1"/>
  <c r="K26" i="3" a="1"/>
  <c r="K26" i="3" s="1"/>
  <c r="K25" i="3" a="1"/>
  <c r="K25" i="3" s="1"/>
  <c r="K24" i="3" a="1"/>
  <c r="K24" i="3" s="1"/>
  <c r="K23" i="3" a="1"/>
  <c r="K23" i="3" s="1"/>
  <c r="K22" i="3" a="1"/>
  <c r="K22" i="3" s="1"/>
  <c r="K21" i="3" a="1"/>
  <c r="K21" i="3" s="1"/>
  <c r="K20" i="3" a="1"/>
  <c r="K20" i="3" s="1"/>
  <c r="K19" i="3" a="1"/>
  <c r="K19" i="3" s="1"/>
  <c r="K18" i="3" a="1"/>
  <c r="K18" i="3" s="1"/>
  <c r="K17" i="3" a="1"/>
  <c r="K17" i="3" s="1"/>
  <c r="K16" i="3" a="1"/>
  <c r="K16" i="3" s="1"/>
  <c r="K15" i="3" a="1"/>
  <c r="K15" i="3" s="1"/>
  <c r="K14" i="3" a="1"/>
  <c r="K14" i="3" s="1"/>
  <c r="K13" i="3" a="1"/>
  <c r="K13" i="3" s="1"/>
  <c r="K12" i="3" a="1"/>
  <c r="K12" i="3" s="1"/>
  <c r="K11" i="3" a="1"/>
  <c r="K11" i="3" s="1"/>
  <c r="K10" i="3" a="1"/>
  <c r="K10" i="3" s="1"/>
  <c r="K9" i="3" a="1"/>
  <c r="K9" i="3" s="1"/>
  <c r="K8" i="3" a="1"/>
  <c r="K8" i="3" s="1"/>
  <c r="K7" i="3" a="1"/>
  <c r="K7" i="3" s="1"/>
  <c r="K6" i="3" a="1"/>
  <c r="K6" i="3" s="1"/>
  <c r="K5" i="3" a="1"/>
  <c r="K5" i="3" s="1"/>
  <c r="K3" i="3" a="1"/>
  <c r="K3" i="3" s="1"/>
  <c r="K2" i="3" a="1"/>
  <c r="K2" i="3" s="1"/>
  <c r="K57" i="1" a="1"/>
  <c r="K57" i="1" s="1"/>
  <c r="K56" i="1" a="1"/>
  <c r="K56" i="1" s="1"/>
  <c r="K55" i="1" a="1"/>
  <c r="K55" i="1" s="1"/>
  <c r="K54" i="1" a="1"/>
  <c r="K54" i="1" s="1"/>
  <c r="K53" i="1" a="1"/>
  <c r="K53" i="1" s="1"/>
  <c r="K52" i="1" a="1"/>
  <c r="K52" i="1" s="1"/>
  <c r="K50" i="1" a="1"/>
  <c r="K50" i="1" s="1"/>
  <c r="K49" i="1" a="1"/>
  <c r="K49" i="1" s="1"/>
  <c r="K48" i="1" a="1"/>
  <c r="K48" i="1" s="1"/>
  <c r="K47" i="1" a="1"/>
  <c r="K47" i="1" s="1"/>
  <c r="K46" i="1" a="1"/>
  <c r="K46" i="1" s="1"/>
  <c r="K45" i="1" a="1"/>
  <c r="K45" i="1" s="1"/>
  <c r="K43" i="1" a="1"/>
  <c r="K43" i="1" s="1"/>
  <c r="K42" i="1" a="1"/>
  <c r="K42" i="1" s="1"/>
  <c r="K36" i="1" a="1"/>
  <c r="K36" i="1" s="1"/>
  <c r="K37" i="1" a="1"/>
  <c r="K37" i="1" s="1"/>
  <c r="K38" i="1" a="1"/>
  <c r="K38" i="1"/>
  <c r="K39" i="1" a="1"/>
  <c r="K39" i="1" s="1"/>
  <c r="K40" i="1" a="1"/>
  <c r="K40" i="1" s="1"/>
  <c r="K35" i="1" a="1"/>
  <c r="K35" i="1" s="1"/>
  <c r="K6" i="1" a="1"/>
  <c r="K6" i="1" s="1"/>
  <c r="K7" i="1" a="1"/>
  <c r="K8" i="1" a="1"/>
  <c r="K8" i="1"/>
  <c r="K9" i="1" a="1"/>
  <c r="K10" i="1" a="1"/>
  <c r="K10" i="1"/>
  <c r="K11" i="1" a="1"/>
  <c r="K11" i="1" s="1"/>
  <c r="K12" i="1" a="1"/>
  <c r="K12" i="1" s="1"/>
  <c r="K13" i="1" a="1"/>
  <c r="K14" i="1" a="1"/>
  <c r="K14" i="1"/>
  <c r="K15" i="1" a="1"/>
  <c r="K15" i="1" s="1"/>
  <c r="K16" i="1" a="1"/>
  <c r="K16" i="1"/>
  <c r="K17" i="1" a="1"/>
  <c r="K18" i="1" a="1"/>
  <c r="K18" i="1" s="1"/>
  <c r="K19" i="1" a="1"/>
  <c r="K19" i="1" s="1"/>
  <c r="K20" i="1" a="1"/>
  <c r="K20" i="1"/>
  <c r="K21" i="1" a="1"/>
  <c r="K22" i="1" a="1"/>
  <c r="K22" i="1" s="1"/>
  <c r="K23" i="1" a="1"/>
  <c r="K23" i="1" s="1"/>
  <c r="K24" i="1" a="1"/>
  <c r="K24" i="1"/>
  <c r="K25" i="1" a="1"/>
  <c r="K25" i="1" s="1"/>
  <c r="K26" i="1" a="1"/>
  <c r="K26" i="1" s="1"/>
  <c r="K27" i="1" a="1"/>
  <c r="K28" i="1" a="1"/>
  <c r="K28" i="1" s="1"/>
  <c r="K29" i="1" a="1"/>
  <c r="K29" i="1" s="1"/>
  <c r="K30" i="1" a="1"/>
  <c r="K30" i="1" s="1"/>
  <c r="K31" i="1" a="1"/>
  <c r="K32" i="1" a="1"/>
  <c r="K32" i="1" s="1"/>
  <c r="K33" i="1" a="1"/>
  <c r="K5" i="1" a="1"/>
  <c r="K5" i="1" s="1"/>
  <c r="K3" i="1" a="1"/>
  <c r="K3" i="1" s="1"/>
  <c r="K2" i="1" a="1"/>
  <c r="K2" i="1" s="1"/>
  <c r="K3" i="2" a="1"/>
  <c r="K3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2" i="2" a="1"/>
  <c r="K42" i="2" s="1"/>
  <c r="K43" i="2" a="1"/>
  <c r="K43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2" i="2" a="1"/>
  <c r="K2" i="2" s="1"/>
  <c r="I18" i="4" l="1"/>
  <c r="J18" i="4" s="1"/>
  <c r="I39" i="4"/>
  <c r="J39" i="4" s="1"/>
  <c r="I35" i="4"/>
  <c r="J35" i="4" s="1"/>
  <c r="I54" i="4"/>
  <c r="J54" i="4" s="1"/>
  <c r="I14" i="4"/>
  <c r="J14" i="4" s="1"/>
  <c r="I30" i="4"/>
  <c r="J30" i="4" s="1"/>
  <c r="I49" i="4"/>
  <c r="J49" i="4" s="1"/>
  <c r="I10" i="4"/>
  <c r="J10" i="4" s="1"/>
  <c r="I26" i="4"/>
  <c r="J26" i="4" s="1"/>
  <c r="I45" i="4"/>
  <c r="J45" i="4" s="1"/>
  <c r="I6" i="4"/>
  <c r="J6" i="4" s="1"/>
  <c r="I22" i="4"/>
  <c r="J22" i="4" s="1"/>
  <c r="I9" i="4"/>
  <c r="J9" i="4" s="1"/>
  <c r="I13" i="4"/>
  <c r="J13" i="4" s="1"/>
  <c r="I17" i="4"/>
  <c r="J17" i="4" s="1"/>
  <c r="I21" i="4"/>
  <c r="J21" i="4" s="1"/>
  <c r="I25" i="4"/>
  <c r="J25" i="4" s="1"/>
  <c r="I29" i="4"/>
  <c r="J29" i="4" s="1"/>
  <c r="I33" i="4"/>
  <c r="J33" i="4" s="1"/>
  <c r="I38" i="4"/>
  <c r="J38" i="4" s="1"/>
  <c r="I43" i="4"/>
  <c r="J43" i="4" s="1"/>
  <c r="I48" i="4"/>
  <c r="J48" i="4" s="1"/>
  <c r="I53" i="4"/>
  <c r="J53" i="4" s="1"/>
  <c r="I57" i="4"/>
  <c r="J57" i="4" s="1"/>
  <c r="I8" i="4"/>
  <c r="J8" i="4" s="1"/>
  <c r="I12" i="4"/>
  <c r="J12" i="4" s="1"/>
  <c r="I16" i="4"/>
  <c r="J16" i="4" s="1"/>
  <c r="I20" i="4"/>
  <c r="J20" i="4" s="1"/>
  <c r="I24" i="4"/>
  <c r="J24" i="4" s="1"/>
  <c r="I28" i="4"/>
  <c r="J28" i="4" s="1"/>
  <c r="I32" i="4"/>
  <c r="J32" i="4" s="1"/>
  <c r="I37" i="4"/>
  <c r="J37" i="4" s="1"/>
  <c r="I42" i="4"/>
  <c r="J42" i="4" s="1"/>
  <c r="I47" i="4"/>
  <c r="J47" i="4" s="1"/>
  <c r="I52" i="4"/>
  <c r="J52" i="4" s="1"/>
  <c r="I56" i="4"/>
  <c r="J56" i="4" s="1"/>
  <c r="I3" i="4"/>
  <c r="J3" i="4" s="1"/>
  <c r="I2" i="4"/>
  <c r="J2" i="4" s="1"/>
  <c r="I15" i="4"/>
  <c r="J15" i="4" s="1"/>
  <c r="I19" i="4"/>
  <c r="J19" i="4" s="1"/>
  <c r="I23" i="4"/>
  <c r="J23" i="4" s="1"/>
  <c r="I27" i="4"/>
  <c r="J27" i="4" s="1"/>
  <c r="I36" i="4"/>
  <c r="J36" i="4" s="1"/>
  <c r="I40" i="4"/>
  <c r="J40" i="4" s="1"/>
  <c r="I46" i="4"/>
  <c r="J46" i="4" s="1"/>
  <c r="I50" i="4"/>
  <c r="J50" i="4" s="1"/>
  <c r="I55" i="4"/>
  <c r="J55" i="4" s="1"/>
  <c r="I5" i="4"/>
  <c r="J5" i="4" s="1"/>
  <c r="I7" i="4"/>
  <c r="J7" i="4" s="1"/>
  <c r="I11" i="4"/>
  <c r="J11" i="4" s="1"/>
  <c r="I31" i="4"/>
  <c r="J31" i="4" s="1"/>
  <c r="I56" i="3"/>
  <c r="J56" i="3" s="1"/>
  <c r="I55" i="3"/>
  <c r="J55" i="3" s="1"/>
  <c r="I54" i="3"/>
  <c r="J54" i="3" s="1"/>
  <c r="I49" i="3"/>
  <c r="J49" i="3" s="1"/>
  <c r="I48" i="3"/>
  <c r="J48" i="3" s="1"/>
  <c r="I47" i="3"/>
  <c r="J47" i="3" s="1"/>
  <c r="I38" i="3"/>
  <c r="J38" i="3" s="1"/>
  <c r="I39" i="3"/>
  <c r="J39" i="3" s="1"/>
  <c r="I37" i="3"/>
  <c r="J37" i="3" s="1"/>
  <c r="K33" i="1"/>
  <c r="K31" i="1"/>
  <c r="K27" i="1"/>
  <c r="K21" i="1"/>
  <c r="K17" i="1"/>
  <c r="K13" i="1"/>
  <c r="K9" i="1"/>
  <c r="K7" i="1"/>
  <c r="I24" i="3"/>
  <c r="J24" i="3" s="1"/>
  <c r="I40" i="3"/>
  <c r="J40" i="3" s="1"/>
  <c r="I52" i="3"/>
  <c r="J52" i="3" s="1"/>
  <c r="I12" i="3"/>
  <c r="J12" i="3" s="1"/>
  <c r="I32" i="3"/>
  <c r="J32" i="3" s="1"/>
  <c r="I20" i="3"/>
  <c r="J20" i="3" s="1"/>
  <c r="I8" i="3"/>
  <c r="J8" i="3" s="1"/>
  <c r="I28" i="3"/>
  <c r="J28" i="3" s="1"/>
  <c r="I36" i="3"/>
  <c r="J36" i="3" s="1"/>
  <c r="I16" i="3"/>
  <c r="J16" i="3" s="1"/>
  <c r="I57" i="3"/>
  <c r="J57" i="3" s="1"/>
  <c r="I13" i="3"/>
  <c r="J13" i="3" s="1"/>
  <c r="I50" i="3"/>
  <c r="J50" i="3" s="1"/>
  <c r="I42" i="3"/>
  <c r="J42" i="3" s="1"/>
  <c r="I30" i="3"/>
  <c r="J30" i="3" s="1"/>
  <c r="I26" i="3"/>
  <c r="J26" i="3" s="1"/>
  <c r="I18" i="3"/>
  <c r="J18" i="3" s="1"/>
  <c r="I14" i="3"/>
  <c r="J14" i="3" s="1"/>
  <c r="I10" i="3"/>
  <c r="J10" i="3" s="1"/>
  <c r="I6" i="3"/>
  <c r="J6" i="3" s="1"/>
  <c r="I53" i="3"/>
  <c r="J53" i="3" s="1"/>
  <c r="I33" i="3"/>
  <c r="J33" i="3" s="1"/>
  <c r="I29" i="3"/>
  <c r="J29" i="3" s="1"/>
  <c r="I25" i="3"/>
  <c r="J25" i="3" s="1"/>
  <c r="I21" i="3"/>
  <c r="J21" i="3" s="1"/>
  <c r="I17" i="3"/>
  <c r="J17" i="3" s="1"/>
  <c r="I5" i="3"/>
  <c r="J5" i="3" s="1"/>
  <c r="I46" i="3"/>
  <c r="J46" i="3" s="1"/>
  <c r="I22" i="3"/>
  <c r="J22" i="3" s="1"/>
  <c r="I45" i="3"/>
  <c r="J45" i="3" s="1"/>
  <c r="I9" i="3"/>
  <c r="J9" i="3" s="1"/>
  <c r="I43" i="3"/>
  <c r="J43" i="3" s="1"/>
  <c r="I35" i="3"/>
  <c r="J35" i="3" s="1"/>
  <c r="I31" i="3"/>
  <c r="J31" i="3" s="1"/>
  <c r="I27" i="3"/>
  <c r="J27" i="3" s="1"/>
  <c r="I23" i="3"/>
  <c r="J23" i="3" s="1"/>
  <c r="I19" i="3"/>
  <c r="J19" i="3" s="1"/>
  <c r="I15" i="3"/>
  <c r="J15" i="3" s="1"/>
  <c r="I11" i="3"/>
  <c r="J11" i="3" s="1"/>
  <c r="I7" i="3"/>
  <c r="J7" i="3" s="1"/>
  <c r="I3" i="3"/>
  <c r="J3" i="3" s="1"/>
  <c r="I2" i="3"/>
  <c r="J2" i="3" s="1"/>
  <c r="I56" i="2"/>
  <c r="J56" i="2" s="1"/>
  <c r="I24" i="2"/>
  <c r="J24" i="2" s="1"/>
  <c r="I12" i="2"/>
  <c r="J12" i="2" s="1"/>
  <c r="I28" i="2"/>
  <c r="J28" i="2" s="1"/>
  <c r="I32" i="2"/>
  <c r="J32" i="2" s="1"/>
  <c r="I52" i="2"/>
  <c r="J52" i="2" s="1"/>
  <c r="I20" i="2"/>
  <c r="J20" i="2" s="1"/>
  <c r="I40" i="2"/>
  <c r="J40" i="2" s="1"/>
  <c r="I48" i="2"/>
  <c r="J48" i="2" s="1"/>
  <c r="I16" i="2"/>
  <c r="J16" i="2" s="1"/>
  <c r="I8" i="2"/>
  <c r="J8" i="2" s="1"/>
  <c r="I36" i="2"/>
  <c r="J36" i="2" s="1"/>
  <c r="I49" i="2"/>
  <c r="J49" i="2" s="1"/>
  <c r="I25" i="2"/>
  <c r="J25" i="2" s="1"/>
  <c r="I13" i="2"/>
  <c r="J13" i="2" s="1"/>
  <c r="I10" i="2"/>
  <c r="J10" i="2" s="1"/>
  <c r="I57" i="2"/>
  <c r="J57" i="2" s="1"/>
  <c r="I45" i="2"/>
  <c r="J45" i="2" s="1"/>
  <c r="I33" i="2"/>
  <c r="J33" i="2" s="1"/>
  <c r="I29" i="2"/>
  <c r="J29" i="2" s="1"/>
  <c r="I9" i="2"/>
  <c r="J9" i="2" s="1"/>
  <c r="I42" i="2"/>
  <c r="J42" i="2" s="1"/>
  <c r="I22" i="2"/>
  <c r="J22" i="2" s="1"/>
  <c r="I18" i="2"/>
  <c r="J18" i="2" s="1"/>
  <c r="I14" i="2"/>
  <c r="J14" i="2" s="1"/>
  <c r="I53" i="2"/>
  <c r="J53" i="2" s="1"/>
  <c r="I21" i="2"/>
  <c r="J21" i="2" s="1"/>
  <c r="I17" i="2"/>
  <c r="J17" i="2" s="1"/>
  <c r="I5" i="2"/>
  <c r="J5" i="2" s="1"/>
  <c r="I6" i="2"/>
  <c r="J6" i="2" s="1"/>
  <c r="I37" i="2"/>
  <c r="J37" i="2" s="1"/>
  <c r="I54" i="2"/>
  <c r="J54" i="2" s="1"/>
  <c r="I50" i="2"/>
  <c r="J50" i="2" s="1"/>
  <c r="I38" i="2"/>
  <c r="J38" i="2" s="1"/>
  <c r="I30" i="2"/>
  <c r="J30" i="2" s="1"/>
  <c r="I26" i="2"/>
  <c r="J26" i="2" s="1"/>
  <c r="I55" i="2"/>
  <c r="J55" i="2" s="1"/>
  <c r="I47" i="2"/>
  <c r="J47" i="2" s="1"/>
  <c r="I43" i="2"/>
  <c r="J43" i="2" s="1"/>
  <c r="I39" i="2"/>
  <c r="J39" i="2" s="1"/>
  <c r="I35" i="2"/>
  <c r="J35" i="2" s="1"/>
  <c r="I31" i="2"/>
  <c r="J31" i="2" s="1"/>
  <c r="I27" i="2"/>
  <c r="J27" i="2" s="1"/>
  <c r="I23" i="2"/>
  <c r="J23" i="2" s="1"/>
  <c r="I19" i="2"/>
  <c r="J19" i="2" s="1"/>
  <c r="I15" i="2"/>
  <c r="J15" i="2" s="1"/>
  <c r="I11" i="2"/>
  <c r="J11" i="2" s="1"/>
  <c r="I7" i="2"/>
  <c r="J7" i="2" s="1"/>
  <c r="I3" i="2"/>
  <c r="J3" i="2" s="1"/>
  <c r="I2" i="2"/>
  <c r="J2" i="2" s="1"/>
  <c r="I50" i="1"/>
  <c r="J50" i="1" s="1"/>
  <c r="I30" i="1"/>
  <c r="J30" i="1" s="1"/>
  <c r="I26" i="1"/>
  <c r="J26" i="1" s="1"/>
  <c r="I22" i="1"/>
  <c r="J22" i="1" s="1"/>
  <c r="I18" i="1"/>
  <c r="J18" i="1" s="1"/>
  <c r="I14" i="1"/>
  <c r="J14" i="1" s="1"/>
  <c r="I10" i="1"/>
  <c r="J10" i="1" s="1"/>
  <c r="I6" i="1"/>
  <c r="J6" i="1" s="1"/>
  <c r="I54" i="1"/>
  <c r="J54" i="1" s="1"/>
  <c r="I38" i="1"/>
  <c r="J38" i="1" s="1"/>
  <c r="I57" i="1"/>
  <c r="J57" i="1" s="1"/>
  <c r="I37" i="1"/>
  <c r="J37" i="1" s="1"/>
  <c r="I46" i="1"/>
  <c r="J46" i="1" s="1"/>
  <c r="I53" i="1"/>
  <c r="J53" i="1" s="1"/>
  <c r="I45" i="1"/>
  <c r="J45" i="1" s="1"/>
  <c r="I33" i="1"/>
  <c r="J33" i="1" s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I56" i="1"/>
  <c r="J56" i="1" s="1"/>
  <c r="I52" i="1"/>
  <c r="J52" i="1" s="1"/>
  <c r="I48" i="1"/>
  <c r="J48" i="1" s="1"/>
  <c r="I40" i="1"/>
  <c r="J40" i="1" s="1"/>
  <c r="I36" i="1"/>
  <c r="J36" i="1" s="1"/>
  <c r="I32" i="1"/>
  <c r="J32" i="1" s="1"/>
  <c r="I28" i="1"/>
  <c r="J28" i="1" s="1"/>
  <c r="I24" i="1"/>
  <c r="J24" i="1" s="1"/>
  <c r="I20" i="1"/>
  <c r="J20" i="1" s="1"/>
  <c r="I16" i="1"/>
  <c r="J16" i="1" s="1"/>
  <c r="I12" i="1"/>
  <c r="J12" i="1" s="1"/>
  <c r="I8" i="1"/>
  <c r="J8" i="1" s="1"/>
  <c r="I42" i="1"/>
  <c r="J42" i="1" s="1"/>
  <c r="I49" i="1"/>
  <c r="J49" i="1" s="1"/>
  <c r="I55" i="1"/>
  <c r="J55" i="1" s="1"/>
  <c r="I47" i="1"/>
  <c r="J47" i="1" s="1"/>
  <c r="I43" i="1"/>
  <c r="J43" i="1" s="1"/>
  <c r="I39" i="1"/>
  <c r="J39" i="1" s="1"/>
  <c r="I35" i="1"/>
  <c r="J35" i="1" s="1"/>
  <c r="I31" i="1"/>
  <c r="J31" i="1" s="1"/>
  <c r="I27" i="1"/>
  <c r="J27" i="1" s="1"/>
  <c r="I23" i="1"/>
  <c r="J23" i="1" s="1"/>
  <c r="I19" i="1"/>
  <c r="J19" i="1" s="1"/>
  <c r="I15" i="1"/>
  <c r="J15" i="1" s="1"/>
  <c r="I11" i="1"/>
  <c r="J11" i="1" s="1"/>
  <c r="I7" i="1"/>
  <c r="J7" i="1" s="1"/>
  <c r="I3" i="1"/>
  <c r="J3" i="1" s="1"/>
  <c r="I46" i="2" l="1"/>
  <c r="J46" i="2" s="1"/>
  <c r="I2" i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<sst xmlns="http://schemas.openxmlformats.org/spreadsheetml/2006/main" count="1507" uniqueCount="488">
  <si>
    <t>Test</t>
  </si>
  <si>
    <t>Fan</t>
  </si>
  <si>
    <t>Temp</t>
  </si>
  <si>
    <t>auto</t>
  </si>
  <si>
    <t>HEX_Bytes</t>
  </si>
  <si>
    <t xml:space="preserve">auto </t>
  </si>
  <si>
    <t>Swing_leftRight</t>
  </si>
  <si>
    <t>Swing_UpDown</t>
  </si>
  <si>
    <t>powerful</t>
  </si>
  <si>
    <t>quite</t>
  </si>
  <si>
    <t>Swing</t>
  </si>
  <si>
    <t>02 20 e0 04 00 00 00 06 02 20 e0 04 00 08 20 80 af 0d 00 0e e0 00 00 89 00 00 e1</t>
  </si>
  <si>
    <t>02 20 e0 04 00 00 00 06 02 20 e0 04 00 09 21 80 af 0d 00 0e e0 00 00 89 00 00 e3</t>
  </si>
  <si>
    <t>02 20 e0 04 00 00 00 06 02 20 e0 04 00 09 22 80 af 0d 00 0e e0 00 00 89 00 00 e4</t>
  </si>
  <si>
    <t>02 20 e0 04 00 00 00 06 02 20 e0 04 00 09 23 80 af 0d 00 0e e0 00 00 89 00 00 e5</t>
  </si>
  <si>
    <t>02 20 e0 04 00 00 00 06 02 20 e0 04 00 09 24 80 af 0d 00 0e e0 00 00 89 00 00 e6</t>
  </si>
  <si>
    <t>raw_data</t>
  </si>
  <si>
    <t>02 20 e0 04 00 00 00 06 02 20 e0 04 00 09 20 80 af 0d 00 0e e0 00 00 89 00 00 e2</t>
  </si>
  <si>
    <t>BeYNqgazAUABAwsFswHgCQEC5QGz4AAB4AMLAbMB4A0v4AEBQB/AA8ABQA/gYQHgCa/gD38B
ACfhFwfgEQHgD1PAAUAfwAPAAUAP4CsBAQsF4AHTAwsFswGAAeALE+ABAeABJ+AVAUAn4AcD
QAFAE0ABQAdAA0ABQAdAA4AB4AF/4BsBQDfAA+AbAcArAQsF4CVn4AsBAwsFswHAAeADC0AB
4AcP4CsBQENAA+ADAQsLBbMBCwWzAQsFswE=</t>
  </si>
  <si>
    <t>Be0NqQayAUABAw0FsgHgCQEC3wGy4AAB4AMLAbIB4A0v4AEBQB/AAwGyAYA7QA/gDQGAH+At
AeADO+APCwGyAUB7QAPgCwED7SbtDeEVB+APAQLfAQ1hNwLfAbLgDgFAH8ADwAFAD+AZAeAD
U4ALAQ0FgAdAAQMNBbIBgAHgARNAAeABF4AB4AcP4A0BAd8BQCfgBwNAAUATQAFAB0ADQAFA
B0AD4AUBAt8BsuAaAUA3wAPgGwHAKwENBeAdX+ATAQMNBbIBwAHgAwsDsgHfAYAPAt8BsuAU
AeAXH4ABgEuAAQsNBbIBDQWyAQ0FsgE=</t>
  </si>
  <si>
    <t>BekNqAazAUABAw0FswHgFQEC5AGz4AIB4BcvQB/AA8ABQA/gMQHgBX/gGQHgBS9Ae0AD4AsB
AQAn4SMH4AUB4A9TwAFAH8ADwAFAD+AJAeAFr+ALAeADN+ABC+ABN0ATQAPgAwGAD+ABI+AF
AeABF0An4AcDQAFAE0ABAg0F5CADAbMBQAFAB0AD4CsBQDfAAwSzAeQBs+AWAcArQAfgNwHg
A0PgAwtAAeAHD+ArAcBDwAdAAQsNBbMBDQWzAQ0FswE=</t>
  </si>
  <si>
    <t>BdANuwazAUABAw0FswHgIwHgFy9AH8ADwAFAD+BhAQLnAbPgAgFAe0AD4AsBARUn4QMH4AU3
4BcBAw0FswHgEwFAH8ADwAFAD+AJAeAZd+ADN+ABC+AJN+ABGwGzAeADC+ATAUAn4AcDQAFA
EwOzAecBQAdAA0ABQAdAA+ArAUA3wAPgGwHAK0AH4DcB4AND4AMLQAHgBw/gLwFAR0ADwAEL
DQWzAQ0FswENBbMB</t>
  </si>
  <si>
    <t>DdUNlQbdAYgB3QHqBN0BQAfgHwPgFy9AH8ADwFNAD8AL4FcHQAHgA2NAe0AD4AMTwAsBCyfh
nQfgA7/gAwvAx8ATwAdAF+ADC0AP4A8DQCfgBwNAK0ATwAfgCwtAG+AjA0BDwAPgGzfAK0AH
4Bsv4BMj4AND4AMLQDPgBw9AE+AnA0BDwAPAOwvqBN0B6gTdAeoE3QE=</t>
  </si>
  <si>
    <t>02 20 e0 04 00 00 00 06 02 20 e0 04 00 09 25 80 af 0d 00 0e e0 00 00 89 00 00 e7</t>
  </si>
  <si>
    <t>BdINqAazAUABAw4FswHgFQEC5wGz4AIB4BcvQB/AAwGzAYA7QA/gGQGAK+A5AeAFR0B7QAPg
CwEBKifhIwfgBQHgAVPgBW/AAUAfwAPAAUAP4CsB4AM34AEL4AV3QBdAA8AB4AML4BMBQCfg
BwNAAUATQAFAB0ADQAFAB0AD4CsBQDfAA+AbAcArQAfgNwHgA0PgAQuBP+ABD+A9AcBPCw4F
swEOBbMBDgWzAQ==</t>
  </si>
  <si>
    <t>02 20 e0 04 00 00 00 06 02 20 e0 04 00 09 26 80 af 0d 00 0e e0 00 00 89 00 00 e8</t>
  </si>
  <si>
    <t>BeUNqgaxAUABAw8FsQGAAQLdAbHgDAHgBRfgAS/gDQFAH8ADAbEBgDsBDwWAB4AB4A8L4D8B
QF9AA4ABAQ8FgAPgAQHgARsB9ibhCwfgHQFAV4AB4AFPAbEB4AELQB/AA8ABQA/gCQHgATPg
CQGAG+ADN+ABC4AbQAFAE8ADwAFAD+AbAUAnAg8F3SADQAeAA0ABQAtAAUAHQANAAUAHQAPg
CQEC3QGx4AAB4A0LQDfAA+AbAcArQAcBsQHgB1PgAw/gGQGAQ0ABAd0B4AELgAHgAQ8C3QGx
4AAB4AMLwAHgCxOAAeABQwGxAcALCw8FsQEPBbEBDwWxAQ==</t>
  </si>
  <si>
    <t>02 20 e0 04 00 00 00 06 02 20 e0 04 00 09 27 80 af 0d 00 0e e0 00 00 89 00 00 e9</t>
  </si>
  <si>
    <t>BcwNqQayAUABAw8FsgGAAQLeAbLgDAHgBRfgAS/gDQFAH8ADAbIBgDtAD+BhAUBzQAOAAUB7
QAPgCwEBDCfhCwfgGwEB3gHgAVMC3gGy4AoBQB/AA8ABQA/gJQGAW+ADN+ABC4Ab4AcBwB/A
B+AFAeAJM0An4AcDQAFAE0ABQAdAA0ABQAdAA+ARAeAJX4ABAd4BQDfAA+AbAcArQAfgBQEC
3gGy4CYB4AND4AMLQAGAD+ADU+APC+AVAYBHAbIB4AMHBw8FsgEPBbIB</t>
  </si>
  <si>
    <t>02 20 e0 04 00 00 00 06 02 20 e0 04 00 09 28 80 af 0d 00 0e e0 00 00 89 00 00 ea</t>
  </si>
  <si>
    <t>Df4NigbeAYcB3gHuBN4BQAfgHwPgFy9AH8ADwFNAD8AL4GcHQHtAA+ALdwH0JuGdB+ADv+AD
C8DT4AMTwAvAB8Aj4A8HQCfgBwNAK0ATwAfgCwtAG+AjA0BDwAPgGzfAK0AH4Bsv4BMj4AND
4AMLQDPgBw9AE+AnA0BDQANAN+ADBwfuBN4B7gTeAQ==</t>
  </si>
  <si>
    <t>02 20 e0 04 00 00 00 06 02 20 e0 04 00 09 29 80 af 0d 00 0e e0 00 00 89 00 00 eb</t>
  </si>
  <si>
    <t>02 20 e0 04 00 00 00 06 02 20 e0 04 00 09 2e 80 af 0d 00 0e e0 00 00 89 00 00 f0</t>
  </si>
  <si>
    <t>02 20 e0 04 00 00 00 06 02 20 e0 04 00 09 2b 80 af 0d 00 0e e0 00 00 89 00 00 ed</t>
  </si>
  <si>
    <t>DesNqAapAakB5AH5BKkBgAEC5AGp4AAB4BELgC8C5AGp4AAB4AULQB+AAwPkAakBQAMBqQGA
C0ABQA9AA0ABQAdAA+AHAcAT4AcHQAHAE0AB4BMLwBsE5AH5BKlgA4ABAuQBqWABQAcD5AH3
JsEHAakBQCeAAQLkAangAAHgEQuALwHkAYADwAFAD4ABQB8C+QTkYAMAqaABBfkEqQGpAUAP
QAPAAUALQAPAAeAJCwH5BMATCeQB+QSpAakB5AGAA4ABQBMB+QRAEwGpAeAHBwGpAUAXQANA
AUAHQANAAYAHAfkEQAMA5KAHgAsAqSABQAtAAUAHAfkEwBMA5CALBqkBqQHkAalgAeAHB0AB
wBNAAcALAeQBQDcB+QSABwSpAeQBqeAAAeANCwH5BEADAORgBwSpAeQBqeAAAUALQAPAAeAL
C+AFEwf5BKkBqQHkAUAD4AELgAGAD0ABAuQBqWABQAdAA8ABwAvAB+AJAYBDAeQBQAcE+QTk
AakgAQv5BOQB+QSpAfkEqQE=</t>
  </si>
  <si>
    <t>02 20 e0 04 00 00 00 06 02 20 e0 04 00 09 2c 80 af 0d 00 0e e0 00 00 89 00 00 ee</t>
  </si>
  <si>
    <t>BfINmAatAUABCAYFrQGtAeIBreAEAeADD+AFC4AvwAEC4gGt4AYBQB/AA8ABQA+AAUAvQAPg
EwHAH+AHB0ABwBPgEwHgAyMB4gFAe0ADgAEC4gGt4AABA+IB+CbBBwbiAQYF4gGtYAHAB0AB
4AML4AMBCeIBBgWtAa0B4gGAA8ABQA9AAQHiAUAfgAMC4gGtoAEDBgWtAYAB4AETAa0B4AML
QAHgBw8DrQEGBeABEwUGBa0BrQFAD0ADwAGACwIGBeIgAwOtAa0BwAfgAwEC4gGt4AAB4AEL
QC8CBgXiIANAB0ADAuIBrSAB4AEHQAsFrQGtAeIBQAdAA4ABAuIBreAYAeABI0A3AgYF4iAD
Bq0BrQHiAa3gFgECBgXiIANABwGtAeAFAQLiAa3gBAHgAw/gDQvgAUMB4gHgAwsArSABAQYF
gAeAAeAPC0ABwBvAB0AB4AELAQYFQAMA4mAHQAELBgXiAQYFrQEGBeIB</t>
  </si>
  <si>
    <t>02 20 e0 04 00 00 00 06 02 20 e0 04 00 09 2d 80 af 0d 00 0e e0 00 00 89 00 00 ef</t>
  </si>
  <si>
    <t>DtwNmgarAasB5gH6BOYBq+AAAeADC0AB4AMPgAvgES/gAR8C+gSrYAMEqwHmAasgAUAPAasB
gAsBqwFAB0ADwAHgEwvgDxvgAwHgDyOAFwL6BOYgAwarAasB5gGr4AABgAsBASdBB4ALAfoE
QAdAA8AB4BULA/oEqwGAAUAnQAPAAYALQB8C+gTmIAMBqwGAAcALAuYBq+AAAeATC+ABG4BD
gA8B+gSABwGrAcAHCasB+gSrAasB5gFAB0ADQAHABwSrAeYBq+AAAeAJC0An4AcDQAFAEwOr
AeYBQAdAA0ABQAcE+gTmAavgAAHgIQtANwH6BEAHAasBgAEB5gGAA+ALAQHmAUAnwAOAAQLm
AavgAAHgAwtAAeADD+AJCwH6BMATAeYB4AELQAHgCQ8Aq+AAAeAHC+AHD+ABAQH6BMADAOZg
CwGrAYAHB/oEqwH6BOYB</t>
  </si>
  <si>
    <t>BvANnwbYAZcgAQH5BIAHAZcBQAdAA0ABQAfgDQOALwHYAeAJA0ABBNgB+QSXIANABwPYAZcB
gAPgAwvAE+AdB0ABwCtAAeAjC4ArQHtAA8AP4AMHAecmwQcB2AGAI0ABAdgB4BUDQAEJ2AH5
BJcBlwHYAeAPAwH5BOABA8AjQBPAC4AHQAHAC0AHQAFAB0ADQAFABwHYAeADN+ADC0AbwANA
F8ADQBNAC0AHAJdgAUAHQANAAUAH4AEDQCfgBwNAH0ATwAfgBQsFlwGXAdgB4CUDBJcB+QTY
4AADAZcBwANAAeANC+ABLwOXAZcBwCPgLQfgA0PgAwsAlyABAfkEQAfgMwNAAcA/QAEE2AH5
BJcgAwnYAfkE2AH5BJcB</t>
  </si>
  <si>
    <t>02 20 e0 04 00 00 00 06 02 20 e0 04 00 09 2a 80 af 0d 00 0e e0 00 00 89 00 00 ec</t>
  </si>
  <si>
    <t>BrgNrAbkAbEgAQMNBbEB4AEBgBPgEwHgBS/gCQFAH8ADAbEBgE9AD+ABAYAT4BkB4AMn4AML
4CUBQHtAA+ALAQEqJ0EHAbEBQAEBDQXgJWMDDQWxAYAB4A03QB/AAwGxAYAjQA/gAQGAE+AB
AeAHD+ABAeADN+ADC+ADAcAX4AcH4A0B4AFrQC/gBwNAAUATQAFAB0ADQAFABwENBeABO+AV
AeAFJwENBeABA+AbAeAnL+ABAeAFd0ABAQ0FwBMF5AENBbEB4AMB4AcP4BEBAuQBseAAAeAN
C0BLQANAAQsNBeQBDQWxAQ0FsQE=</t>
  </si>
  <si>
    <t>BcMNugayAUABAwoFsgHgFQEC5QGy4AIB4Akv4AMfAeUBQB/AA8ABQA/gKQEC5QGy4CwB4AU3
QHtAA+ALAQH3JsEHAeUB4A8j4A8B4BcvQB/AA8ABQA/gKwHgAzfgAQsC5QGyoAFAE+ADA0AB
QA/gFQGAP0An4AcDQAFAE0ABQAdAA0ABQAcBCgWAN4AB4AML4BUBAQoF4AED4A0B4AVL4Bkv
4CEBAQoFwFsB5QHgAQuAAQgKBbIBsgHlAbLgAAHgAwvgAwHgERfgB0NADwsKBeUBCgWyAQoF
sgE=</t>
  </si>
  <si>
    <t>02 20 e0 04 00 00 00 06 02 20 e0 04 00 09 2f 80 af 0d 00 0e e0 00 00 89 00 00 f1</t>
  </si>
  <si>
    <t>BeUNpgauAUABCP4ErgGuAeUBruAQAeADGwblAf4E5QGu4BABAeUBQB8C/gSuIAMC5QGuoAED
/gSuAYAB4AETAa4B4AML4AMB4B8X4AMn4BELQHtAA4ABAuUBruACAQMVJ+UNgQcB5QHgASPg
GwHgCy8C5QGu4AABAeUBQE/AA8ABQA+AAQLlAa7gAAFAC0AD4AcB4AET4AM34AMLAK7gDAEB
5QFAI0ADgAEC5QGu4AABwAtAB0ADBK4B/gTlIANAB+ABA0ABQA8BrgHgARtAAUATBP4E5QGu
YAHAB+ALAeADG4ALQDcB/gRABwauAa4B5QGu4AgB4AMTAeUBQCfAA+AFAQLlAa5gAcAHQAHg
AwvgAwGAF0BHgAEB5QHgAQuAAeAFDwLlAa7gAAHgDwvgBwGAJwH+BIAHQAEB/gRAAwnlAf4E
rgH+BK4B</t>
  </si>
  <si>
    <t>02 20 e0 04 00 00 00 06 02 20 e0 04 00 09 30 80 af 0d 00 0e e0 00 00 89 00 00 f2</t>
  </si>
  <si>
    <t>BtANowbfAa8gAQEHBYAHgAHgAwvAAeAFEwMHBa8B4BMBQB/AAwGvAUA7Ad8BQA8ErwHfAa/g
JAHgGy/gAyPAC8AHgAFAe0AD4AsBARkn4Q8HQAHgBUfgBwEBBwXAH0AHQAPAAYALAQcF4AED
gAEB3wFAE+AdAQLfAa/gAAEB3wGANwLfAa8gAQEHBYAHAa8BwAcFrwEHBa8B4AMBQA9AA+AB
AeABK+AFAQHfAUAngAPgAQtAAQMHBa8BQAFAB0ADQAFAB0AD4AUBAt8Br+AAAeARC0A3wAPg
EQEC3wGvoAGAKwDfYAfgAQEB3wGAA+ALAUAb4AsBBd8BBwWvAYAB4AMLQAHADwLfAa/gAAHg
GwtAAeABJ0BfQAPAAUALCwcFrwEHBa8BBwWvAQ==</t>
  </si>
  <si>
    <t>02 20 e0 04 00 00 00 06 02 20 e0 04 00 09 31 80 af 0d 00 0e e0 00 00 89 00 00 f3</t>
  </si>
  <si>
    <t>Bs4NmQbfAaogAQH+BIAHgAHgCwvgAxMFqgH+BKoBgAHgAxfgAQtAHwL+BN8gAwaqAaoB3wGq
IAGAC+ALAUAfQAPAAeA7C+ADQwGqAUB7QAMBqgHAF0AHQAMDqgERJ+EjB0ABgDdAAYBTQAHg
ARMBqgFAC0ADBKoB/gTfIANABwGqAcABBP4E3wGqYAFAB0ADQAFAB8ADwAFAD8ABBd8B/gSq
AcAB4AELAd8B4AEDAaoBgBdAEwSqAf4E3yADBaoBqgHfAYADwAFAD0ABQAeAAwH+BEADAKqg
B4ALQAED/gSqAUABQAdAA0ABQAcE/gTfAapgAUAHwAPgGQEB/gTAA0AzwAHgEQtAJwL+BKog
AwLfAargAAFAC0ADQAFAB0ADwAHgCwuAE+ABQwHfAeADC+ABD0ALQAHAB8AB4AMPQAtAA0AB
wAdAAcALBd8B/gSqAUABQAcL/gTfAf4E3wH+BKoB</t>
  </si>
  <si>
    <t>02 20 e0 04 00 00 00 06 02 20 e0 04 00 09 32 80 af 0d 00 0e e0 00 00 89 00 00 f4</t>
  </si>
  <si>
    <t>Bc8NsQazAUABAwsFswHgIwHgFy9AH8ADwAFAD+BvAUB7QAPgCwEBFSfhnQfgA7/gAwvAAUAT
QAPAAUALQAPgFQEC4wGzIAFAJ+AHA0ABQBNAAUAHQANAAUAHQAPgAQGAQ+AbAUA3wAOAAeAV
O8ArQAfgJQHgCVfgA0PgAwtAAeAHD+ARAeADV+ADCwGzAcBD4AMHCwsFswELBbMBCwWzAQ==</t>
  </si>
  <si>
    <t>02 20 e0 04 00 00 00 06 02 20 e0 04 00 09 33 80 af 0d 00 0e e0 00 00 89 00 00 f5</t>
  </si>
  <si>
    <t>DeUNmAbVAZUB1QH4BNUBQAfgBQNAAeAHE0APAZUBgC9AAUAP4AkDQB/AA8AfQA/ACwCVYAFA
B0ADQAFAB+BHA0ABgFNAe0ADgA9AAcALA9UB9SbhFwcB1QHgAQNAAeABD+ABUwHVAeALA0Af
wAPAH0APwAvgIwfgAzfgAwsAlWABQAeAA8AbQAdAA8AX4BMHAvgElSADQAfgAQMDlQHVAUAP
wAfgCwtAG+AFA0ABwBNAAeAFC0BDwAPgARvAC0ABgAtAAUALwCtAB0AP4DMD4AND4AMLQFPg
Bw9AE+ArA0BHQANAO0AHC/gE1QH4BNUB+ATVAQ==</t>
  </si>
  <si>
    <t>02 20 e0 04 00 00 00 06 02 20 e0 04 00 09 34 80 af 0d 00 0e e0 00 00 89 00 00 f6</t>
  </si>
  <si>
    <t>DfgNggbVAZMB1QH2BNUBQAeAA0ABwAvgDQfgBS8B1QGAA0ABgAtAH8AD4AMTwAtAAcAL4AUH
QAHAE0ABwAtAB0ABQAfgKQPgB4vgA0MB2CbhDwcB1QHgAQNAAeADD4ALQFfAC+ALB0AfwAPA
H0APwAvgIwfgAzfgAwvAQ8AT4AEHAJOgC0ABAdUB4BMDAfYE4AkDQC9AF8AHgAsBkwFAB0AD
AZMBQANAAUAH4B0DQDfAA+AbM8ArQAfgGy/gEyPAQ0ABwAvAL+AHD8AX4CMHAvYEkyADQAcF
1QGTAdUBQAcL9gTVAfYE1QH2BNUB</t>
  </si>
  <si>
    <t>02 20 e0 04 00 00 00 06 02 20 e0 04 00 09 35 80 af 0d 00 0e e0 00 00 89 00 00 f7</t>
  </si>
  <si>
    <t>DeENmQbPAZsBzwH/BM8BQAFAC0ADQAFAB+APA0Av4AEbQAHgAw8BzwFAH8ADQA9AA0APQAcA
m2ABQAcAzyABAJsgAUAFAM9gAUAH4DkDQAHgA0cBmwFAe0ADAZsB4AkDAewmwQcBmwHgCSNA
AQHPAYADQAGAC0ABQAvgCS8BzwHgAQMBmwFAH4ADBZsBmwHPAUADBP8EzwGbYAFAB0ADQAFA
B+AJA0ABwBeANwHPAUADgAtAAQHPAeADA0AXQAMAmyABQAdAAwGbAUADQAGAB+ABBQDPoAEB
mwFAJ4AD4AELB5sBzwH/BM8BwAfgBQsFmwGbAc8BQANAAUAH4A0DQAFAGwGbAUAFAv8Ez6AD
BZsBmwHPAeAXAwH/BMADBZsBmwHPAUADAs8BmyABQAXgHwNAAQXPAf8EzwFAB0ADB/8EmwGb
Ac8BQANAAQT/BM8Bm2ABQAcAzyABAJsgAUAFQANAAUAHAM9gAUAH4BUDAZsBQE/gBAMCBM8B</t>
  </si>
  <si>
    <t>02 20 e0 04 00 00 00 06 02 20 e0 04 00 09 36 80 af 0d 00 0e e0 00 00 89 00 00 f8</t>
  </si>
  <si>
    <t>Eu8NmwauAa4B4wEDBa4BrgHjAa7gAAHgDwuAAYAv4BEBQB/AA8ABQA+AAeADW+ADAeALF8AT
wAdAAeAPC+ADAeADIwGuAUB7QAOAAeADGwPjAdAmwQcGrgEDBeMBruAiAQMDBa4BgAHAN8AH
gAECAwXjIAOABwCuYAEB4wFADwOuAeMBgAPAAeADD0ALwAHgAQuAN0ABAeMBgAsC4wGu4AIB
QBPAA0AB4AMLAa4B4AUrgAFAE0ADBK4BAwXjIANAB+ABAwGuAYATAa4BgAdAG0ABQAcEAwXj
Aa7gAAHgGwuAAQEDBUADAONgB4ABAeMBgAPAAUAP4AEBwCsDAwWuAYAB4AMf4AMLQAHgBw/g
BQEBAwXgAR8DAwWuAYABgBMBAwWAB+AJAeADF0ALQAPAAeADCwWuAQMFrgHAAQIDBeOgAwmu
AQMFrgEDBeMB</t>
  </si>
  <si>
    <t>02 20 e0 04 00 00 00 06 02 20 e0 04 00 09 37 80 af 0d 00 0e e0 00 00 89 00 00 f9</t>
  </si>
  <si>
    <t>BdINngasAUABBP0E5AGs4AAB4AMLwAHgBRPgFy8B/QTgAQMBrAGAO0ATAawBgAvgFQHgAyPg
LwvAN4AHAv0E5CADBqwBrAHkAazgBgEBISdBB4AXAf0EQAdAA0ABwAdAAeANCwP9BKwBgAFA
H0AD4AUBQB/AA8ABQA/gBQHgAzfgCwtAEwHkAYA3AuQBrCABAf0EgAcBrAFAB0AD4AMBBOQB
/QSs4AADgAEC5AGs4AAB4AMLQAEB5AHgAS/gAQtAAQX9BKwBrAHgBxNADwLkAaxgAeAHB0AB
wBPgBwEE5AH9BKygAwPkAawBQANAAcAHQAHgBQsC/QSsoAMC5AGs4AABQAtAA8AB4A8L4AUB
A/0ErAHAAQH9BOAFMwj9BKwBrAHkAazgAAHgCwtAE8ADwAFAD0ABgAeARwSsAf0E5CADQAcJ
rAH9BOQB/QSsAQ==</t>
  </si>
  <si>
    <t>02 20 e0 04 00 00 00 06 02 20 e0 04 00 09 38 80 af 0d 00 0e e0 00 00 89 00 00 fa</t>
  </si>
  <si>
    <t>DfINjAbVAZIB1QH4BNUBQAfgBQNAAeAHE4AP4AEvQAEB1QHgBwNAH8ADwBsH+ASSAZIB1QHg
awMB+ASAA+ABe0ABgA8B4CbhFwcB1QHgDwNAV+APG0AXQB/AA0APQANAD0AH4B8DQAFAK+AD
N+ADC0AbQAPgAxNACwL4BJIgAwPVAZIB4BkDQCfgBwNANwX4BJIBkgFAB4AD4AcLQA/gFQMC
kgHVIAFABUADwEdAB0AP4BcDQCfAA+AXK+ABH0AB4AMPgAtAR+ALC0AT4AMbQA/gKwNAQ0AD
QDtAB+AEAwIE1QE=</t>
  </si>
  <si>
    <t>02 20 e0 04 00 00 00 06 02 20 e0 04 00 09 39 80 af 0d 00 0e e0 00 00 89 00 00 fb</t>
  </si>
  <si>
    <t>DdUNnQbWAZAB1gHzBNYBQAfgBQNAAeAHE4AP4A0vAdYBwANAH8AD4AMTwAvgZwfgB4vgA38B
8ibhFwcB1gHgDwNAV+APG0AXQB/AA0APQANAD0AH4CcD4AM34AML4ANHwBdAB8AD4AMf4A8L
wCvgAwdAK0APwAfgCwtAG+AjA0BDwAPgGzfAK0AH4Bsv4BMj4AND4AMLQDPgBw9AE+AvA0BL
4AgDAgTWAQ==</t>
  </si>
  <si>
    <t>02 20 e0 04 00 00 00 06 02 20 e0 04 00 09 3a 80 af 0d 00 0e e0 00 00 89 00 00 fc</t>
  </si>
  <si>
    <t>EfkNpgbZAZgB2QH3BJgBmAHZAYADQAHgCwvAEwXZAfcE2QFAB+APA0AfwAOAIwGYAUAPAJhg
AUAHQANAAUAHQANAAUAH4CsDQAHAN0ABwAtAB0ABBNkB9wSYIAMC2QGYYAFAB+ABAwHeJkEH
BZgBmAHZAYAjAdkB4B8D4AUvQAEB2QGAA0ABBNkB9wSYIANABwPZAZgBgAPgAwvAE+ABB0AB
wA9AAeABC4A3QAEJ2QH3BJgBmAHZAeADAwH3BIADQBPAC0AHQA/gCQNAAeABF0AnAvcEmCAD
QAdAAwOYAZgBQAcB2QHAB+ALC0Ab4AEDQAHAD0AB4AkLQEPAA+ABH+ARC4ArAJhgBwCYYAFA
B0ADQAFAB8ADQAHAC+ANBwP3BNkBwBuAC0ABAdkBQAOADwLZAZhgAUAHQANAAUAHQANAAUAH
4BEDwENABwL3BJggA0AHCdkB9wTZAfcE2QE=</t>
  </si>
  <si>
    <t>02 20 e0 04 00 00 00 06 02 20 e0 04 00 09 3b 80 af 0d 00 0e e0 00 00 89 00 00 fd</t>
  </si>
  <si>
    <t>BfUNlAapAUABA/YEqQGAAQLlAangAAHgCwtAEwHlAYAvAuUBqeAAAeAFC0AfgAMD5QGpAUAD
AakBgAtAAYAPgAHgFwvAH8AHQAHgIwtAKwTlAfYEqWADgAEC5QGp4AABA+UB5SbBBwblAfYE
5QGpYAHgAwfAC0AB4AULCPYEqQGpAeUBqeAAAeAFC0AfgAMC5QGpoAED9gSpAYAB4AETAakB
QAtAA8AB4AkLAfYEwBMJ5QH2BKkBqQHlAYADwAFADwSpAfYE5SADQAdAAwLlAangAAHgCwtA
EwTlAfYEqaAD4AELQAED9gSpAUABQAcE9gTlAakgAUAHCPYEqQGpAeUBqWAB4BMH4AMbAeUB
QDeAAwLlAalgAeAHB0ABwBMDqQH2BEADAOVgBwSpAeUBqeAEAcAPwAfgBwHgAxcB5QFAR0AH
QAMI9gSpAakB5QGpoAGAD+ADAeABGwGpAcALQAfAA0AB4AMLQAEB5QFAR4AD4AYLAgTlAQ==</t>
  </si>
  <si>
    <t>02 20 e0 04 00 00 00 06 02 20 e0 04 00 09 3c 80 af 0d 00 0e e0 00 00 89 00 00 fe</t>
  </si>
  <si>
    <t>DfMNlQbTAZIB0wH3BNMBQAfgBwNAAeAHE0AP4A8vQBtAA0AfwANAD0ADQA9AB+ABA0ABwA9A
AcAL4A0HQAHgDxvgFxdAe0ADAtMBkiABQAVAA0ABA9MB9ibhDQdAAUAf4BMDQFPgFx9AI0AD
wCfgAwvAE+ANB0AB4AEb4AM34AML4AMjQAtAG+ADA0AT4BcD4AMvwAtAM0ALwAfgCwtAG+Aj
AwL3BJIgA0AHA9MBkgHgGQNAJ8AD4Bsv4BMjQEfAH+ADC0AT4AcPQBPgKwNAR+AMAwIE0wE=</t>
  </si>
  <si>
    <t>EQYOkQaVAZUB1gH2BJUBlQHWAYADQAHAC+ANBwP2BNYB4A8bQBdAHwL2BJUgAwPWAZUBgAOA
C0ABAdYB4FEDQAHgCV9Ae0AD4AsbB9EmBg6RBtYBQBvgDyNAG+ABA0ABgA/gFy9AH8AD4B0z
QAHgASvgAwtAR8AP4AMLwBPAB0AbgAMAlWAHAZUB4AMDQAGAD0ABwAsB9gTgEQPgAyNAC8Ar
QAsAlWABQAfgCwNAAeAFF8A7QAfgBxsC1gGVIAFABUADQAEE1gH2BJUgA0AHA9YBlQFAA0AB
QAfgKQPgAUPgBQvgCw9AE+ArA0BjAvYElSADA9YBlQHgAQMD9gTWAQ==</t>
  </si>
  <si>
    <t>02 20 e0 04 00 00 00 06 02 20 e0 04 00 09 3c 80 3f 0d 00 0e e0 00 00 89 00 00 8e</t>
  </si>
  <si>
    <t>BsgNogbWAZcgAQH5BIAHAZcBQAcA1iABAJcgAUAFQANAAUAHQANAAQHWAYAvAdYB4A8DQB/A
A8AjQA/AC+AJB0AB4AsX4BMTQAHAH0AB4AsLgBMC+QSXIAMD1gGXAeAJAwEjJ0EHBZcBlwHW
AeAHIwLWAZcgAUAFQANAAUAH4AEDB/kElwGXAdYB4A8DAfkE4AEDgCMBlwFAEwGXAeApA+AD
N4ALQAEB1gHgBwNAG+ADA4AfQAHgCwuAE+ADL8AL4AEbAJdgCwf5BNYBlwHWAUAHQANAC+AD
AwLWAZcgAUAF4BEDQDfAA+AFJ0ABwBNAAYALgCsAl2AHAJdgAUAH4C0DA/kE1gHAO4ALQAEB
1gFAA4APAdYB4DUDAZcBQEeAA4ALC5cBlwGXAdYB+QSXAQ==</t>
  </si>
  <si>
    <t>02 20 e0 04 00 00 00 06 02 20 e0 04 00 09 3c 80 4f 0d 00 0e e0 00 00 89 00 00 9e</t>
  </si>
  <si>
    <t>Br8NsgbdAbIgAQMMBbIB4A0BgB8BsgHAB4AB4BEvgAFAH8ADwAFAD+ApAeAFd+AvAUB7QAPg
CwEBHSdBBwGyAUABAQwF4A9v4A0XAwwFsgGAAeARH0AjQAPAAeADC+AJAeADR+AFC+ADN+AD
C+AHAUAb4AMD4AUBAt0BsuAAAeABC+ADL+ADC0ABQA9AAeADB8ALgAHgAUfgFwFAN8ADgAHg
DzuAFwIMBd0gA0AHAbIB4AkBAt0BsuAYAeABI+ADQ+ADC0AB4AcP4CUB4AVjAgwF3SADAbIB
QAELDAWyAbIB3QEMBbIB</t>
  </si>
  <si>
    <t>02 20 e0 04 00 00 00 06 02 20 e0 04 00 09 3c 80 5f 0d 00 0e e0 00 00 89 00 00 ae</t>
  </si>
  <si>
    <t>Bb4NtAazAUABAwwFswHgIwHgFy9AH8ADwAFAD+ApAQLqAbPgOgFAe0AD4AsBASMn4QMH4CVv
AwwFswGAAeANN0AfwAPAAUAP4CsB4AM34AML4AcBQBvgAwPgGwHgAy/AC0AB4AcLQAHgAxPg
JwHAO0AHgAHhAzfgAwuAAUAnwAPgCQHgCS/gEwFAR8AB4AMLQAHgBw/gLwFAR+AHAwezAbMB
DAWzAQ==</t>
  </si>
  <si>
    <t>02 20 e0 04 00 00 00 06 02 20 e0 04 00 09 3c 80 6f 0d 00 0e e0 00 00 89 00 00 be</t>
  </si>
  <si>
    <t>BdUNqwayAUABAw0FsgHgIwHgAS8C4QGy4AoBQB/AAwGyAYAjQA/gZQGAd0ABQHtAA+ALAQH7
JuGdB+ADv+ABC+AB48ABQBvgAwPgGwGALwDhoAfAD+ABB0ABQA9AAUAHQAPgHQEC4QGy4AIB
QDeAA+AFF+APAQENBeABA+ABAeAdO+AHAUBLwAEBDQXgBUMFDQWyAbIB4AUT4A0B4BUjQEfA
A8ABBw0FsgENBbIB</t>
  </si>
  <si>
    <t>02 20 e0 04 00 00 00 06 02 20 e0 04 00 09 3c 80 7f 0d 00 0e e0 00 00 89 00 00 ce</t>
  </si>
  <si>
    <t>02 20 e0 04 00 00 00 06 02 20 e0 04 00 09 3c 80 af 0d 00 0e e0 01 00 89 00 00 ff</t>
  </si>
  <si>
    <t>EL4NqQbMAcwBnQECBcwBzAGdIAFABQDMIAEAnSABQAUAzCABAJ0gAUAF4AEDBwIFnQGdAcwB
4A8DAQIF4AEDwCNAE8AL4FUHQAHgAWNAAUB7QAPgAxfACwEnJ4EHQA+AI0ABAcwBQAMCzAGd
IAFABUADQAFABwDMIAEAnSABCcwBAgWdAZ0BzAHAAwLMAZ0gAUAFAMwgAQGdAUAfAgIFzGAD
AZ0BQAMBnQFADwCdIAGABcABQA2AAwLMAZ0gAUAFAMwgAQCdIAFABQHMAYA3AMwgAQGdAUAL
AswBnSABQAVAA0ABQAcBzAFAGwICBZ0gA0AHBMwBnQHMIAEAnSABQAUAzCABAJ0gAUAFAMyg
AQGdAUAn4AEDgA8AnSABAQIF4AEHgAuABwcCBZ0BnQHMAUADgAEAnSABQAUAzCABAJ0gAUAF
AMwgAQCdIAFABYADQDcBAgVABwPMAZ0BgAMCzAGdIAHgBwUAzCABAZ0BQCeAA4ALAswBnSAB
QAUAzGABQAfgFQNAAYAjAwIFzAHgCwtAEwcCBZ0BnQHMAYADQAGACwLMAZ0gAUAF4BkDAQIF
4A8DBZ0BAgXMAQ==</t>
  </si>
  <si>
    <t>BbkNrQayAUABAw0FsgHgGQEC3AGyoAHgFy9AH8ADAbIBgDdAD+ANAYAf4EkB4AFXQHsBDQXg
AQ8BsgHgAQsBKyfhJwfgAQEDDQWyAYAB4AFPAbIB4AELQB/AA8ABQA/gCQHgATPgDwHgAzfg
AQvgCTdAG+ADA+AbAYAvANygB4APQAFAC0ABQAdAA0ABQAdAA+AJAQLcAbLgAAHgDQtAN8AD
4BsBwCtAB+AFAYBf4AkX4BEB4AMrAQ0FgD/AAQUNBbIBsgHgAxPgGwvgCQFAR+ADAwuyAbIB
sgGyAbIBsgE=</t>
  </si>
  <si>
    <t>02 20 e0 04 00 00 00 06 02 20 e0 04 00 09 3c 80 af 0d 00 0e e0 20 00 89 00 00 1e</t>
  </si>
  <si>
    <t>BuINogbkAaggAQH0BIAH4AUB4AMTQAtAA4ABBfQEqAGoAUAPQANAAUAHQAOAAUAfAvQE5CAD
BqgBqAHkAaggAQH0BIAHAagBQAdAA8AB4BML4BMbQAFAH0ADwAHAC0AHQAOAAQH0BEAD4AEP
AagB4AELAeYmQQcBqAFAAeABI0AfQANAAcAHwAHgAQ8D9ASoAYAB4AETAagB4AELQB8C9ATk
IAMBqAHAAQT0BOQBqOAAAcAL4A8HQAGAG+ABNwXkAfQEqAGAAQHkAYADQAGAC0AbgAOACwSo
AeQBqOAIAcATQAcE5AH0BKggA0AHQAOACwCoIAEB9ATgAQcI9ASoAagB5AGoIAEB9ASABwGo
AUAHQAPAAeAVC0A3gAMFqAGoAeQB4AEDQAHAD8ABA+QB9ARAAwCoIAcBqAGAAQLkAahgAeAL
B8ATQAHgCQsB9ATAEwXkAfQEqAGAAQLkAaggAQH0BIAHgAHgEwvgCxtAE0ADAagBwEdABwH0
BMAHBeQB9ATkAQ==</t>
  </si>
  <si>
    <t>02 20 e0 04 00 00 00 06 02 20 e0 04 00 09 3c 80 af 09 00 0e e0 00 00 89 00 00 fa</t>
  </si>
  <si>
    <t>DfQNiwbVAZEB1QH0BNUBQAfgHwPgFy9AH8ADwFNAD8AL4GcHQHtAA+ALdwP9JvQN4QsHAtUB
kSABQAXgEQMA9OEWN0AfwAPAR0APwAvgIwfgAzfgAwvgB0NAG+ADA+AHH+ALD+ADL8ALQCcF
9ASRAZEBQAcB1QHgCwdAE+AjA0BHwAPgGzfAK0AH4Bsv4BMj4AND4AMLQDPgBw9AE+AnA0BD
QANAN0AH4AQDAgTVAQ==</t>
  </si>
  <si>
    <t>02 20 e0 04 00 00 00 06 02 20 e0 04 00 09 3c 80 af 0a 00 0e e0 00 00 89 00 00 fb</t>
  </si>
  <si>
    <t>DuMNoAbUAZEB1AH3BNQBkWABQAfgGQOALwHUAeAPA0AfwAPAI0APwAvgZwdAe0AD4At3AeUm
4QcHAdQB4B8D4A9TwD9AH8AD4AMTwAvgIwdAR8Av4AMLwBPAB0Ab4AMDwBfgEwfgAy/AC0Av
QAvAB0ALQAOADwCRYAcBkQHgJQMB9wTgAQPgGzvgJy/gE1NAS8Af4AMLQBPgBw9AE+AvA0BL
4AgDAgTUAQ==</t>
  </si>
  <si>
    <t>02 20 e0 04 00 00 00 06 02 20 e0 04 00 09 3c 80 af 0b 00 0e e0 00 00 89 00 00 fc</t>
  </si>
  <si>
    <t>BcwNqQazAUABAw0FswHgFQEC4gGz4AIB4BcvQB/AA8ABAQ0F4AVD4FUB4AVrAQ0FgAPgCwEB
/SbhIwfgBQFAV+ATAUAfwAPAAUAP4AkB4AWv4AsB4AM34AEL4Ak3QBvgAwPgFQGAP+ADL8AL
QAFAC0ABQAdAA0ABQAdAA+ArAUA3wAPgGwHAK0AH4DcB4AND4AMLQAHgBw/gLwFAR+AMAwIF
swE=</t>
  </si>
  <si>
    <t>EeoNpwbYAZgB2AH6BJgBmAHYAYADQAHgCwtAE0ABAdgB4AUvAdgB4AcDAfoE4AEDwBtAEwCY
YAFAB+AHA0ABwBNAAUALApgB2CABQAXgMQNAAQTYAfoEmCADAtgBmGABQAdAA0ABA9gB/SZB
BwWYAZgB2AGAIwHYAeAfA+AFL0ABAdgBgANAAQTYAfoEmCADQAcD2AGYAUADAZgB4AELQA/g
HwMBmAGAN0ABCdgB+gSYAZgB2AHgCwMB+gTgBQPgCyPgBxMC+gSYIANAB0ADgAsHmAHYAfoE
2AHgBwfAE0AX4AEDQAHAD0AB4A0LQDvAAwGYAeAZA8ArB/oEmAGYAdgBgANAAcALQAdAAUAH
4BMDA5gB+gTgAR8H+gSYAZgB2AHAAwT6BNgBmGABQAdAA0ABQAdAA0ABQAfgFQNAQ8ADQCvA
Cwf6BNgB+gTYAQ==</t>
  </si>
  <si>
    <t>02 20 e0 04 00 00 00 06 02 20 e0 04 00 09 3c 80 af 06 00 0e e0 00 00 89 00 00 f7</t>
  </si>
  <si>
    <t>DswNmgbaAZgB2gHyBNoBmGABQAdAA0ABQAdAA0ABQAfgAQMH8gSYAZgB2gHgDwMB8gTgAQPA
I0ATgAtAAeAjC8Ar4C8HAZgBQHtAAwGYAUADQAFAB0ADA5gBEyfBBwGYAeABI0Ab4BkD4Akv
QAEB2gGAAwGYAUAfwAMBmAGAA0APwAvgDQdAAcAbQAGAC+ABNwGYAYALQAEB2gHgBwNAG+AD
A+AHH+AJDwGYAeABL+ABCweYAdoB8gTaAeADB8ALgBdAAQHaAeABA0ABwA9AAeAJC0A3AvIE
mCADA9oBmAHgGQNAJwLyBJggAwLaAZhgAUAHwANAAcAL4AMHQAHAD0ABgAuAQwHaAUADgAtA
AQHaAUADgA8C2gGYYAFAB0ADQAFAB+ALA0AB4AUXwENABwLyBJggA0AHCdoB8gSYAfIE2gE=</t>
  </si>
  <si>
    <t>02 20 e0 04 00 00 00 06 02 20 e0 04 00 09 3c 80 af 0c 00 0e e0 00 00 89 00 00 fd</t>
  </si>
  <si>
    <t>BtcNmQbYAZogAQH3BEAHQANAAUAH4BMDAZoB4AEv4AcnAZoBQBFAH4ADBZoBmgHYAUADA/cE
2AFABwCaYAFAB8ADQAHAC8AHQAHAC0AHQAFAB0ADQAFAB0ADQAFAB+ALA0ABgBdAe0ADwA/g
AwcB/ibBBwHYAeABI0ABAdgBgANAAcAL4AMHAZoBgC9AAeADF+ABC0AfwAPAF0APgAtAAcAL
QAdAAUAH4A0D4AE34AULQA/gAwMC9wSaIANAB0ADBZoBmgHYAYADQAHgCwsD2AH3BIADQAsA
mmABQAcB2AFAF8AH4AELAJqgC0ABAdgB4CMDAfcEwAMFmgGaAdgB4AEDQAHAD0ABgAsB9wRA
AwCaYAcBmgHgIwNAAeADLwOaAfcEwA8BmgGAC0ABQBMBmgGAD4ALAZoBQAfgHwNAAUArAZoB
4AEFgAlAUwv3BNgB9wSaAfcE2AE=</t>
  </si>
  <si>
    <t>02 20 e0 04 00 00 00 06 02 20 e0 04 00 09 3c 80 a1 0d 00 0e e0 00 00 89 00 00 f0</t>
  </si>
  <si>
    <t>BsMNpQbgAbAgAQEFBYAH4BEB4AUfAwUFsAHgAQHgBRtAAQEFBeABAwGwAYAfBQUFsAGwAYAL
4CEB4AMv4A8L4AMBwCPAB4ABAQUFgAMBsAHgBRdAAQERJ0EHAbABQAEBBQXgAx/gGQsDBQWw
AYAB4AMr4AEBAgUF4CADQAcBsAHAAQMFBbAB4AEBAuABsGABwAfgAwHgBRMFBQWwAbABgBMD
BQWwAYABgA/gAQEE4AEFBbCgA4ALBLAB4AGw4BYBAwUFsAFAAQMFBbAB4AMBCgUFsAGwAeAB
BQWwYAMBsAHgAwtAAQLgAbDgIgEBBQXgAQMBsAFAO0ADwAHgCQsCBQXgIANABwGwAeA3AQgF
BbABsAHgAbAgAQMFBbABgAHgBw/gEwGAK4AB4AkLAQUF4AUTAQUFQBMJsAEFBbABBQWwAQ==</t>
  </si>
  <si>
    <t>02 20 e0 04 00 00 00 06 02 20 e0 04 00 09 3c 80 a2 0d 00 0e e0 00 00 89 00 00 f1</t>
  </si>
  <si>
    <t>BtENmwbjAaogAQP3BKoB4AEBgBPgBQFAE0ADgAHgDS/gBR8C9wTjIAMFqgGqAeMBQAPgAQvA
AQLjAargDAHgAxfgLwtAN8ADBKoB9wTjIAMBqgHgBQEC4wGqIAEBISdBBwGqAUABAfcEgBOA
AeAZCwP3BKoBgAHgAyvgAQEC9wTjIANABwGqAYABQA8C4wGq4AAB4AcL4AMP4AMBCuMB9wSq
AaoB4wGqIAEB9wSABwGqAeAHBwOqAfcEwAMA4yALA+MBqgFAA8AB4AcLgA9AJwH3BEAHAaoB
gAEC4wGqIAEB9wTgAQfgBQsFqgGqAeMBgANAAeADC0ABQA/AAeABC0A3AvcE4yADBqoBqgHj
AargAAHAC0AHQANAAQHjAUAnAfcEgAcEqgHjAargAAFAC0ADwAHgGQsF9wSqAaoBQCcB4wHg
AQuAAYAPQAEC4wGq4AABwAtAB8ADwAFAD+AHAQHjAYBHAuMBqiABAvcE4yADCaoB9wSqAfcE
4wE=</t>
  </si>
  <si>
    <t>02 20 e0 04 00 00 00 06 02 20 e0 04 00 09 3c 80 a3 0d 00 0e e0 00 00 89 00 00 f2</t>
  </si>
  <si>
    <t>BcwNsgazAUABAw0FswHgIwHgFy9AH8ADwAFAD+BvAUB7QAPgCwEBFSfhBwcC5QGz4B4B4A9T
wAFAH8ADwAFAD+AFAeAdb+ADN+ADC+AHAUAb4AMD4BUBgHtAL8AB4AsLQBNAA0ABQAdAA+Ar
AUA3wAPgGwHAK0AH4DcB4AND4AMLQAHgBw/gKwFAQ0ADwAFACwsNBbMBDQWzAQ0FswE=</t>
  </si>
  <si>
    <t>02 20 e0 04 00 00 00 06 02 20 e0 04 00 09 3c 80 a4 0d 00 0e e0 00 00 89 00 00 f3</t>
  </si>
  <si>
    <t>BeUNmQauAUABA/8ErgHgAQEC5gGu4AAB4A0L4AEv4AMf4AEBQB8C/wTmIAMFrgGuAeYBQAPg
AQvAAQLmAa7gCAHgAxPgAwtAAeAHD+ATAeAFK0B7Af8EwBPAB4ABAfsm4RsH4A0BA/8ErgGA
AUBTQAPgBQFAHwL/BOYgAwauAa4B5gGuIAGAC8ABgBMBrgHgBwfgCQGAN4AngAtAAUAPQAPA
AQHmAUAbgAOAC+AFAQLmAa7gAAHgAQvgAytACwCuoAED/wSuAUABQAdAA0ABAv8E5iADBa4B
rgHmAYAD4AcBQBfgAwHgAQ9AN4ADQBNAA+ALAeABFwH/BOABA+AFAeABIwGuAeAbCwGuAUBL
Aa4BQCsB5gHgAQuAAYAPQAEC5gGu4AAB4AML4AMB4AMX4AkLAf8EgBNABwv/BK4B/wSuAf8E
5gE=</t>
  </si>
  <si>
    <t>02 20 e0 04 00 00 00 06 02 20 e0 04 00 09 3c 80 a5 0d 00 0e e0 00 00 89 00 00 f4</t>
  </si>
  <si>
    <t>BdwNrwa0AUABAwwFtAHgFQEC7QG04AIB4BcvQB/AA8ABQA/gYQHgCa/gD38B/SbhIwfgBQHg
D1PAAUAfwAPAAUAP4AkB4AWv4AsB4AM34AML4AcBQBvgAwPgGwHgAy/AC0ABQAtAAUAHQANA
AUAHQAPgKwFAN8AD4BsBwCtAB+A3AeADQ+ADC0AB4AcP4C8BQEfgDAMCBbQB</t>
  </si>
  <si>
    <t>ON</t>
  </si>
  <si>
    <t>OFF</t>
  </si>
  <si>
    <t>De4NpwbYAZoB2AH5BNgBQAfgBQNAAeANE+AFL0ABAdgBgANAAQHYAUAfwANADwCaIAFADwCa
YAFAB0ADQAFAB0ADQAFAB0ADQAFAB+AHA0AB4AcT4BcPQAEE2AH5BJogAwLYAZpgAUAH4AED
AfgmQQcFmgGaAdgBgCMB2AHgHwPgBS9AAQHYAYADQAEE2AH5BJogA0AHA9gBmgGAA+ADC8AT
4A0HQAHAGwGaAYA3QAEJ2AH5BJoBmgHYAeABA0AB4AMPgAsD+QTYAcALAJpgAUAH4AMDQAEB
2AFAJwL5BJogA+ABBwCaIAFADwCaIAFAB0ADA5oB2AFAB0ADQAvgCQNAAeARFwL5BJogA0AH
A9gBmgHgBwNAAeAFE0AnwAOAG0ABwAtAB0ABQAdAA0ABgAfgAQVACYADQEfgCQtAAQHYAeAD
GwCaYAFAB0ADQAFAB+AdAwf5BJoBmgHYAcADC/kE2AH5BNgB+QTYAQ==</t>
  </si>
  <si>
    <t>BecNpQazAUABAw0FswHgFQEC5gGz4AIB4BcvQB/AAwGzAYA7QA/gbwFAe0AD4AsBAf0m4SMH
4AUB4A9TwAFAH8ADwAFAD+AZAYEzgAGAC+ADN+ADC+ATAeAjJ0Ar4AMDQAFAD0ABQAdAA0AB
QAdAA4ABgJvgHwFAN8ADAbMB4Bk7wCtAB+AFAeAZO+AHAeADQ+ADC0AB4AcP4C8B4AdHCw0F
swENBbMBDQWzAQ==</t>
  </si>
  <si>
    <t>BuANngbZAZkgAQH6BIAHAZkBQAfgGQOALwHZAYADQAHgBQsC+gSZIANABwPZAZkBgAPgAwvA
E+A1B0ABwENAAeALC4ATQHtAA8AP4AMHAe8mwQcB2QGAI0ABAdkBgANAAcAL4AMHQAEJ2QH6
BJkBmQHZAeAPAwH6BOABA4AjAZkBQBMAmWABQAdAA0ABQAfAA0ABwAvgDQeAQwHZAeAFA0AB
wBNAAQnZAfoEmQGZAdkBgANAAeALCwPZAfoE4AkDwBfABwX6BJkBmQGABwT6BNkBmWABQAfg
FwNAAYAjQDfAA8ATgAdAAeAJC4ArAJlgBwGZAeALA0ABwBfAAcAP4AMHA5kB+gTADwGZAYAL
QAFAEwGZAYAPQAvgCwNAAeADF0ABwA9AAYAL4AFDQAEB2QFAAwv6BNkB+gSZAfoE2QE=</t>
  </si>
  <si>
    <t>02 20 e0 04 00 00 00 06 02 20 e0 04 80 68 f2 e0</t>
  </si>
  <si>
    <t>Econavi_on</t>
  </si>
  <si>
    <t>Econavi_off</t>
  </si>
  <si>
    <t>02 20 e0 04 00 00 00 06 02 20 e0 04 80 52 33 0b</t>
  </si>
  <si>
    <t>Bt8NogbjAa0gAQMFBa0BgAGAD4AB4BELAwUFrQHgEwEBBQXgAQMErQHjAa0gAQEFBYAHgAHg
AwvgAwHgAxfgAwvgJwFAO0ADgAEBBQWAA+ALAQHxJkEHAa0BQAEBBQXgATMBrQHgAwvgAwHg
ARcBBQXAC8AH4AUBAQUF4AEDAa0BgCMBBQWABwGtAUAHQANAAUAHQAPgCwEH4wEFBa0BrQHg
AQcArSABAQUF4AcHQBMBrQGAAQTjAQUFrWADwAEBBQWAAwGtAYAbD60B4wGtAa0BrQHjAa0B
rQE=</t>
  </si>
  <si>
    <t>nanoe_on</t>
  </si>
  <si>
    <t>nanoe_off</t>
  </si>
  <si>
    <t>EuENmgasAawB4wH6BKwBrAHjAazgEAHAG4AHAfoEgAeAAeAJC0AfAfoEQAcGrAGsAeMBrCAB
AfoEQAdAA8AB4B8L4AsnQBNAA+ALAeADF4ALQHsI+gSsAawB4wGs4AABgAsB/iZBB4ALAfoE
gAfgAQHgBw/AAYAX4AEvQA9AA8ABgAtAHwH6BEAHAawBgAGADwSsAeMBrOAAAeADC0AB4AMP
gAsC+gTjYAMArOAAAQXjAfoErAFAAQT6BOMBrCABAfoEgAPAAeAHD0ABAfoE4AEr4AQBAgHj
AQ==</t>
  </si>
  <si>
    <t>02 20 e0 04 00 00 00 06 02 20 e0 04 80 51 33 0a</t>
  </si>
  <si>
    <t>DeMNlgalAaUB5AH0BOQBQAcApWABwAdAAcALQAfAAwGlAYAvQAHgAROAAUAPAaUBQB8B9ARA
BwalAaUB5AGlIAHgAwsBpQFAE0ADwAHgEwvAG0AHQANAAUAHQAPAAeAHC8APgAcC9ATkIAMG
pQGlAeQBpeAAAYALAf0mQQeACwH0BEAHQAPAAeAVC4AvQAFAJ0ADwAGAC0AfAfQEQAcFpQGl
AeQBQAMD9ATkAUAHAKXgAAFAC0ADQAFAB0ADQAFAB0ADA6UB9ARAA4ALAaUBQAcH5AH0BKUB
pQFABwHkAYAHA6UB9ARAC4ABAfQEQAPgAQ8DpQHkAcAPwAcLpQGlAaUB5AGlAeQB</t>
  </si>
  <si>
    <t>timer_0.5</t>
  </si>
  <si>
    <t>timer_1</t>
  </si>
  <si>
    <t>timer_2</t>
  </si>
  <si>
    <t>timer_3</t>
  </si>
  <si>
    <t>timer_4</t>
  </si>
  <si>
    <t>timer_5</t>
  </si>
  <si>
    <t>timer_6</t>
  </si>
  <si>
    <t>timer_7</t>
  </si>
  <si>
    <t>timer_8</t>
  </si>
  <si>
    <t>timer_9</t>
  </si>
  <si>
    <t>Br0NsQbfAbAgAQMGBbAB4BUBgCfAAeAXL0AfwAMBsAGAO0AP4CkBgDuAAeAPC+ADAcAjwAeA
AUB7QAPgCwEBISdBBwGwAUABAQYFQDdAA0ABwAdAAeANCwMGBbABgAHgAx/gAQECBgXfIANA
BwGwAYABgA/gAQEC3wGwYAHAB8AB4AUPQD8CBgXfIANAB+ABA+ABAQHfAYADwAEB3wFAJ+AD
AcAP4AMHCwYF3wGwAbABBgWwAQ==</t>
  </si>
  <si>
    <t>02 20 e0 04 00 00 00 06 02 20 e0 04 80 1f 10 b5</t>
  </si>
  <si>
    <t>BcwNqwayAUABAw0FsgGAAQLkAbLgGgHgAS/gDQFAH8ADAbIBgFNAD+ABAYATgAHgAwvgPwHg
BVNAe0AD4AEB4AEfAQsn4QsH4B0B4AFT4AFP4AMBQB/AA8ABQA/gJwGAMwHkAUAH4AMD4BMB
QCfgCwHAF0AHCw0FsgGyAbIBDQWyAQ==</t>
  </si>
  <si>
    <t>02 20 e0 04 00 00 00 06 02 20 e0 04 80 1e 10 b4</t>
  </si>
  <si>
    <t>DfANpwbZAZcB2QH7BNkBQAfgGQNAAQnZAfsElwGXAdkBgANAAeAFC0AfAfsEQAcD2QGXAYAD
4AMLgBNAAcAL4AMHQAHgDw9AAeADG+AdC0B7QAMAl2ABQAdAA0ABA9kB5iZBBwWXAZcB2QHg
CSMB2QHgEwOALwHZAeAJA0ABBNkB+wSXIANABwPZAZcBQAMBlwGAC0ABQA9AA0ABQAfgEQOA
MwHZAUADQAvAA0AP4AEDQAHgAQ9AI+ADD0AL4AMTQAsL+wTZAZcBlwH7BNkB</t>
  </si>
  <si>
    <t>02 20 e0 04 00 00 00 06 02 20 e0 04 80 1c 10 b2</t>
  </si>
  <si>
    <t>BfUNlAasAUABAwAFrAGAAQLjAazgAAHgEQuALwLjAaxgAcAHwAEB4wFAH4ADA+MBrAFAAwWs
AQAFrAHgCQGAG4AB4AsLQBNAA+ADAeAHD8AB4AMX4AULQHtAA4ABAuMBrOAAAQPjAfEmQQcB
4wFACwQABeMBrGABwAfgDwGAHwUABawBrAGAC4AB4AMLAawBQB/AA8ABQA8BrAHgBScBrAFA
D0AD4A0BwDMEAAXjAawgAUAHBwAFrAGsAeMBgAPAAUAPgAGAH0AB4AETAawB4AELQB8LAAXj
AawBrAEABawB</t>
  </si>
  <si>
    <t>02 20 e0 04 00 00 00 06 02 20 e0 04 80 1a 10 b0</t>
  </si>
  <si>
    <t>Bu8NogbZAZkgAQH8BEAH4CED4AUvQAEB2QGAA0ABBNkB/ASZIANABwPZAZkBgAPgAwvAE+Ad
B0ABwCtAAeAjC0ArAZkBQHtAAwGZAeADA0ABA9kB3SZBBwWZAZkB2QGAI0ABAdkBgANAAeAL
C4ATgC8B2QGAA0ABwAuABwL8BJkgA0AHA9kBmQFAAwWZAfwEmQGACUAFQANAAUAH4AcDQAGA
EwP8BNkBwAtAB0APQANAC+ABAwGZAUANAZkBgAWAHwGZAYANgAVAE8ADD5kB2QH8BNkBmQHZ
AfwE2QE=</t>
  </si>
  <si>
    <t>02 20 e0 04 00 00 00 06 02 20 e0 04 80 18 10 ae</t>
  </si>
  <si>
    <t>BuMNmQblAasgAQP8BKsB4BUBgCcBqwGAB+ABL4APgAHgAQtAHwL8BOUgAwWrAasB5QFAA+AB
C8ABAuUBq+AAAeALC0ATQAPAAeAbC8AB4AMrBKsB/ATlIAMBqwHgCwEB+SbhAwcC5QGr4AAB
4A8L4AEBA/wEqwGAAUArQAPAAYALAvwE5SADQAcGqwGrAeUBqyABAfwEgAeAAcALQAfAA0AB
4AMLBasB/ASrAUABQAdAA0ABwAcBqwHgBSsBqwFADwGrAeABH0ABgBNAAUAXAfwEgA8L/ATl
AasB5QH8BOUB</t>
  </si>
  <si>
    <t>02 20 e0 04 00 00 00 06 02 20 e0 04 80 16 10 ac</t>
  </si>
  <si>
    <t>BuQNowbZAZYgAQH1BEAH4CED4AUvQAEB2QGAA0ABBNkB9QSWIANABwPZAZYBgAPgAwuAE0AB
4AsLwBPAB0AB4BcLwB/gDQdAe0ADAJZgAUAH4AEDAf4mwQcB2QHgCSNAAQHZAYADQAHAC4AH
gC8B2QHgDwNAH8ADgCMBlgFADwCWYAFAB0ADQAFAB+ARA4AzAdkBQAPAC8AHQBPgAQNAAYAP
4AEfQAEB2QFAA8AT4AgHAgTZAQ==</t>
  </si>
  <si>
    <t>02 20 e0 04 00 00 00 06 02 20 e0 04 80 14 10 aa</t>
  </si>
  <si>
    <t>Dd0NmgbaAZcB2gH3BNoBQAfgAQNAAcAPQAHAC0AHAZcB4AkvQBfgAQNAH8ADwBdAD4ALQAHg
FwvAH+AfB0AB4A8rAZcBQHtAAwGXAUADQAFAB4ADAfEm4RMHAdoB4BMDB/cElwGXAdoB4AED
QAHADwSXAfcE2uAAAwGXAYADQBPAC+ANB0ABwBtAAQfaAfcElwGXAeABB4ALgAdAC+ABA0AB
gA/gEx8F9wSXAZcBQAcJ2gGXAZcB9wTaAQ==</t>
  </si>
  <si>
    <t>02 20 e0 04 00 00 00 06 02 20 e0 04 80 12 10 a8</t>
  </si>
  <si>
    <t>BuINmgblAacgAQH3BIAHgAHAC0AHQANAAUAHwAMFpwH3BKcBgAFAE8AB4AELQB8C9wTlIAMF
pwGnAeUBQAMD9wTlAUAHAKfgAAHgOwtAQ0ADwAHAC+AFB0B7CPcEpwGnAeUBp2AB4AEHAeMm
4RcHQAEC5QGn4AAB4AEL4AFTQBNAA8ABgAsC9wTloAMGpwGnAeUBpyABAfcEgAeAAcAL4AcH
QAHAEwWnAfcEpwGAAeAHE0APQAPAAeABC4AzQA9AA0ABAeUBQBME9wTlAadgAQ3lAfcE5QGn
AacB9wTlAQ==</t>
  </si>
  <si>
    <t>02 20 e0 04 00 00 00 06 02 20 e0 04 80 10 10 a6</t>
  </si>
  <si>
    <t>DdoNmQaiAaIB4QH1BOEBQAcAomABQAdAA0ABQAfAA0ABgAuAL0ABAeEBgANAAeABC0AfAfUE
QAcGogGiAeEBoiAB4AELgA8BogFAB0ADwAHgCwtAE0ADwAHAC0AHQANAAUAHQANAAUAHwAPA
AQHhAUB7QAMDogHhAYADQAFACwOiAfsmQQdACwXhAfUE4QFABwCi4AAB4AsLQBNAAwGiAYAv
QAFAD8ADQAGAC0AfAvUEomADA6IB4QFAAwP1BOEBQAcAomAB4AcHQAHAE0ABgAuAMwGiAUAH
gAMFogGiAeEB4AEDQAFAD0ABQAcF4QH1BOEBQAcAouAAAYALgBeAAQv1BOEBogGiAfUE4QE=</t>
  </si>
  <si>
    <t>02 20 e0 04 00 00 00 06 02 20 e0 04 80 0e 10 a4</t>
  </si>
  <si>
    <t>DQcOfgbTAZUB0wH2BNMBQAfgHwPgFy9AH4ADQFEB0wFABQP2BNMBQAfgHwNAAeAFK0ABgBMC
0wGVIAFABeAdA0B7B/YElQGVAdMBgANAAYALAdAm4VsHAdMBwG/gAwvAE+AJB0AB4AUX4AM3
4A8L4BMz4AcbwA8D0wGVAUBPgAPgAQsHlQHTAfYE0wHAB+AFCwWVAZUB0wHgCwNAAeALF0AT
AfYE4AEDQA9AA0ABQAdAA0ABQAdAA0AB4AEvBZUBlQHTAeAVA0AB4BEjA/YE0wHAHwf2BJUB
lQHTAcADA/YE0wHAC+AFBwGVAUARAZUBQAXgGQMH9gSVAZUB0wGAAw2VAfYE0wGVAdMBlQHT
AQ==</t>
  </si>
  <si>
    <t>02 20 e0 04 00 00 00 06 02 20 e0 04 00 49 20 80 af 0d 00 0e e0 00 00 89 00 00 22</t>
  </si>
  <si>
    <t>EfwNjwaWAZYB1QH4BJYBlgHVAeAfAwP4BNUBgCtAAcAL4AEHQB/AA0ABQBtAD0AH4DEDQAHA
P0AB4AsLwBPgBQdAe0AD4AEXQAGADwHkJkEHAdUBQA/gDyMC1QGWIAFABeAFA+AFLwHVAUAD
QAFAB0ADQB/AAwCWYAEJ1QH4BJYBlgHVAYADQAHAC+AVBwP4BNUBwCPAC0ABwAvAB8AjQAfg
CxNAF+AHAwL4BJYgA0AH4AEDAJYgAUAPAJYgAUAHQAMAliABQAdAAwGWAcADQAHAC+APB0AB
AdUBQDfAA0AP4BcDwCtAB+ANK0AB4A8b4AUX4AND4AELQAHgAw8B1QHgAwMC1QGWIAFABeAT
A0ABAdUBQFNAA0ALwAML+ATVAZYB1QGWAZYB</t>
  </si>
  <si>
    <t>02 20 e0 04 00 00 00 06 02 20 e0 04 00 49 21 80 af 0d 00 0e e0 00 00 89 00 00 23</t>
  </si>
  <si>
    <t>EuUNmQarAasB5QH5BKsBqwHlAavgAAHgBwvgBQ+AL8ABAuUBq+AAAYALAvkE5aADBqsBqwHl
AasgAYAL4AcBgBuAAeADC8ABQBNAA8AB4AML4AMB4AMXQAtAA8ABAeUBQHtAA+AFAQLlAasg
AQP/JuUNgQcHqwH5BOUBqwFAA+ALAeADF4ALgC9AAYAP4AEBQA8E5QH5BKvgAAOAAYATBKsB
5QGr4AABQAtAA8AB4A0LQEvAAeABCwblAfkE5QGroAEF+QSrAasB4AMPwAtAB0ADwAHgBQsC
+QSroAPgAQtAAQP5BKsBQAFABwT5BOUBqyABQAcH+QSrAasB5QGAA8ABQA9AAcAHQAHgBQtA
N4ADA+UBqwFAA8AB4A0LAfkEQAMA5WAH4AEBAeUBgAPAAUAPwAHgEQsI+QSrAasB5QGrIAGA
C0AB4AMPgAuAAeATC8AbQAdAA0ABwAcDqwH5BOADCwmrAasBqwGrAeUB</t>
  </si>
  <si>
    <t>02 20 e0 04 00 00 00 06 02 20 e0 04 00 49 22 80 af 0d 00 0e e0 00 00 89 00 00 24</t>
  </si>
  <si>
    <t>DdYNmgbWAZQB1gH1BNYBQAfgDQNAAeAFG+AFLwKUAdYgAUAFgAMBlAFAH8ADAZQBgANAD8AL
4GcHQHtAA+AJdwWUASIn1g3hHQcB1gHgBwPgDVMB1gGAAwGUAUAfwAMBlAGAA0APwAvgIwfg
AzeAC0ABwAuAB4AXAdYBwAPgBw/AF4AHApQB1iABQAVAJ4ADAJSgBwXWAZQB1gHgAwfgCwtA
I+AVA0AB4AEjQEPAA+ADF+APC8ArQAfgDyPgDRdAAeAFG+ADQwf1BJQBlAHWAYADA5QB9QRA
C0ABQAdAA0ABQAdAA0ABQAfgFQOAQ+ABB4ALCZQBlAHWAZQB1gE=</t>
  </si>
  <si>
    <t>02 20 e0 04 00 00 00 06 02 20 e0 04 00 49 23 80 af 0d 00 0e e0 00 00 89 00 00 25</t>
  </si>
  <si>
    <t>BfcNkwapAUABA/QEqQGAAQLkAangAAHgEQuALwLkAangDAEB5AFAH4ADA+QBqQFAAwWpAfQE
qQGAAYAPgAHAC0AHQANAAUAHQANAAeAHB0ABwBPgBwHgAxfgBQsB9ARAAwGpAYABAuQBqeAA
AQPkAeomwQcG5AH0BOQBqWABwAdAAeAPCwGpAYAv4A8fBOQB9ASpoAMC5AGpoAEF9ASpAakB
QA9AA0ABQAdAA8ABwAtAB0ADgAHgAzfgBQsD5AGpAUADgAED9ASpAYABAeQB4AELQAEC5AGp
4AABQAtAA4ABQCcC9ATkoAOACwCpIAEB9ATgAQcD9ASpAUABAfQEwAsC5AGp4AQB4AMPwAtA
B0ADgAEB9ARAAwDkYAcEqQHkAangAAHgDQsB9ARAAwDkYAcEqQHkAalgAUAHQAPgAwHAD0AH
QANAAcAHQAEB5AFAR0AHQAPgAQuAAQP0BKkBgAEC5AGp4AAB4AsLQBNAA8AB4AULQEdAA4AB
gA8HqQHkAakBqQE=</t>
  </si>
  <si>
    <t>02 20 e0 04 00 00 00 06 02 20 e0 04 00 49 24 80 af 0d 00 0e e0 00 00 89 00 00 26</t>
  </si>
  <si>
    <t>EucNmQanAacB5AHzBKcBpwHkAafgAAHAC0AHwANAAYAL4AUvAuQBp+AAAYALAvME5KADBqcB
pwHkAacgAYALQAGADwGnAUAHQAPAAeALC0ATQAPAAeAfC+AFJ0B7QAOAAQLkAafgAgEB8CZB
B0ATBeQB8wTkAUAHAKfgAAHgFQuAL0ABQCfAA8ABAeQBQB8C8wSnYAOAAYAPBKcB5AGn4AAB
QAtAA0ABQAdAA0ABQAdAA4ABQEeAAQHkAYALAuQBpyABAfME4A0HQAED8wSnAYABgCMBpwFA
B0ADQAFAB4ADAfMEQAMApyAHQAOACwGnAeAFBwPzBKcBQAFABwTzBOQBp+AAAUALQANAAcAH
QAFAC0ADQAGAB0A3gAMFpwGnAeQB4AEDwAFAE8ABA+QB8wRAAwCnYAcAp2ABwAdAAUALQAPA
AeAVCwHzBMAfAeQB4AELQAHgCQ8Ap+AAAcALQAfAA8ABQA/AAQTkAfMEp6ADAuQBp6ABC/ME
pwGnAeQBpwGnAQ==</t>
  </si>
  <si>
    <t>02 20 e0 04 00 00 00 06 02 20 e0 04 00 49 25 80 af 0d 00 0e e0 00 00 89 00 00 27</t>
  </si>
  <si>
    <t>BtYNnQbjAakgAQH1BIAHAakBQAdAA8ABwAvgBQfgAS9AAeADG4ALQB8B9QRABwWpAakB4wFA
A+ABC8ABAuMBqeAAAeATC+ALG8ATQAdAA8ABwAvgBQcC9QTjYAMBqQFAA8ABgAsBCyfhBweA
F+AFAeADE+ABCwP1BKkBgAFAE0ADQAFAB0ADBKkB9QTjIANABwGpAYABQA8B4wFABwCpYAHg
AwdAC0ADQAFAB0ADQAFABwrjAfUEqQGpAeMBqSABAfUEgAdAAQP1BKkBgAEB4wFAC0ADgAGA
DwSpAeMBqeAAAcALQAdAA4ABAvUE4yADQAfAAwLjAakgAeADBwP1BKkBQAFAB0ADgAEC4wGp
4AAB4AcL4AcPBKkB9QTjIANABwWpAakB4wGAA0AB4AMLQAFADwSpAfUE4yADQAcBqQHgCQEC
4wGp4AAB4BkL4AFDAeMB4AMLAKkgAQH1BIAHgAHgAwvAAcAT4AcHQAHgAxOAC8BPC/UE4wGp
AakBqQGpAQ==</t>
  </si>
  <si>
    <t>02 20 e0 04 00 00 00 06 02 20 e0 04 00 49 26 80 af 0d 00 0e e0 00 00 89 00 00 28</t>
  </si>
  <si>
    <t>DfINpgbWAZUB1gH2BNYBQAfgGQNAAQHWAeAXL0AfwANAL0ADQA9AB+AZA0AB4Bsn4CEjQHtA
A+ALMwvyJvINpgaVAZUB1gHgDyNAG+ALA+AXLwL2BJUgA0AHA9YBlQGAA+ADC8AT4A0HQAHA
GwGVAYA3QAEB1gGACwHWAUADwAtAB8ADQBdAA0APQAeAA0AB4AsLAdYBQCfgBwPAF8AHQB+A
CwOVAfYEQAtAAUAH4CEDQDeAAwWVAZUB1gHgDQNAAYAbAfYE4AEDwBPgIQdAAcAvAZUBQEsB
lQGAA4ALQAEB1gFAA4APAdYB4B0DQAHgCSvgAUMBlQHACwv2BNYBlQHWAZUB1gE=</t>
  </si>
  <si>
    <t>02 20 e0 04 00 00 00 06 02 20 e0 04 00 49 27 80 af 0d 00 0e e0 00 00 89 00 00 29</t>
  </si>
  <si>
    <t>DfENpgbYAZUB2AH2BNgBQAfgHwPgBS9AAQHYAYADQAEE2AH2BJUgA0AHA9gBlQGAA+ADC8AT
4B0HQAHAK0ABwAvgIQdAe0ADAJVgAUAHQANAAQPYAeUm4QcHQAEB2AGAA0ABwAvgCQeAUwHY
AYADQAHgBQsC9gSVIANABwPYAZUBQAMBlQGAC0ABQA/gIQOANwHYAUADB/YElQGVAdgBQAMD
9gTYAUAH4AMDwBPAB+ADG+AJCwGVAUAngAPgAQsHlQHYAfYE2AHAB+ALC0Ab4BUDQAHAIwGV
AUBDwAMBlQHgGQPAKwf2BJUBlQHYAeANA0AB4A8b4AEXA/YE2AHAD+ADCwCVIAHgBQ9AE+AD
A0AB4AMP4BELwEfgBwcDlQHYAQ==</t>
  </si>
  <si>
    <t>02 20 e0 04 00 00 00 06 02 20 e0 04 00 49 28 80 af 0d 00 0e e0 00 00 89 00 00 2a</t>
  </si>
  <si>
    <t>BuINnwbYAZcgAQH0BIAHAZcBQAdAA0ABQAdAA0ABQAfgAQOALwHYAeAPA0AfwAPAI0APwAvg
PQdAAcBLQAHgCwuAE0B7QAPAD+ADBwHmJsEHAdgB4AkjQAEB2AGAA0AB4AULB/QElwGXAdgB
4A8DAfQE4AEDgCMBlwFAEwCXYAFAB0ADQAFAB+AVA4A3AdgBQAPgCwsH9ASXAZcB2AFAAwP0
BNgB4AMHAJdgAUAHQANAAUAH4AEDQC/gBwMAlyABQBMDlwHYAUAHQAPgAQsAl2ALAZcB4CUD
AfQE4AED4AE7QAHgAw/gAQvgDS8B2AHgAQNAAcAPQAHgEQtAS8Af4AMLQBPgBQ9AAQHYAYAD
QAHgCwtAE0ABQAeAA0BDQANAD+AHBwOXAdgB</t>
  </si>
  <si>
    <t>02 20 e0 04 00 00 00 06 02 20 e0 04 00 49 29 80 af 0d 00 0e e0 00 00 89 00 00 2b</t>
  </si>
  <si>
    <t>Bc0NtQazAUABAwwFswHgIwHgFy9AH8ADBLMB7gGzIAFAD+ApAYA74DcBQHtAA+ALAQH9JuE7
B+ANp0BzwAPAAUAP4CsB4AM34BcLwB/AB+AXAUAn4AcDQAFAE0ABQAdAA0ABQAdAA+ArAUA3
wAPgGwHAK0AH4AkB4Q1z4A8B4AFDAe4B4AELgAHgBw/gMwFAS0ADQAELDAWzAbMBswGzAbMB</t>
  </si>
  <si>
    <t>02 20 e0 04 00 00 00 06 02 20 e0 04 00 49 2a 80 af 0d 00 0e e0 00 00 89 00 00 2c</t>
  </si>
  <si>
    <t>BdENvAazAUABAwoFswHgIwHgFy9AH8ADwAFAD+ApAQLoAbPgOgFAe0AD4AsBAREn4XsH4Bnn
4AO/4AULgDsBCgWAA0ABQAtAAcAH4AEBgCuAAeABC0An4AcDQAFAE0ABQAdAA0ABQAdAA+AB
AeABR+AXAUA3wAOAAeAVO8ArQAfgCQHgFTvgBwHgAUMB6AHgAQuAAeAHD+ArAcBDQAdAA0AB
CwoFswGzAbMBswGzAQ==</t>
  </si>
  <si>
    <t>02 20 e0 04 00 00 00 06 02 20 e0 04 00 49 2b 80 af 0d 00 0e e0 00 00 89 00 00 2d</t>
  </si>
  <si>
    <t>Be8NqgawAUABAw0FsAGAAQLbAbDgDAHgBRfgAS/gDQFAH4AD4AE3Aw0FsAHgMQHgAUcBsAHg
DwvgAwHgAyMBsAFAe0AD4AkBA9sB3ibhCwfgAwEC2wGw4AAB4AULgFMC2wGw4A4BQB/AA8AB
QA+AAeADN0ALQAPgEQHgATcBsAHgAQsF2wENBdsBQAcAsKABAQ0FQAOAD8AH4BEBwCcBsAHg
BwNAAUATQAFABwENBcArANsgCwGwAeABAQLbAbDgHAEB2wFAN4ADAtsBsOAEAeAHD4ABAQ0F
4AED4BEB4AM74A8LAbABQEvAAeADC0AB4AcPAbAB4A9HQBdAA+ANAUBHwANAAQsNBbABsAGw
AbABsAE=</t>
  </si>
  <si>
    <t>02 20 e0 04 00 00 00 06 02 20 e0 04 00 49 2c 80 af 0d 00 0e e0 00 00 89 00 00 2e</t>
  </si>
  <si>
    <t>BrUNrwbfAbAgAQMIBbAB4BUBgCfAAeAXL0AfAggF3yADBrABsAHfAbAgAYAL4CcBgDvgCQHg
AxfgAwvAAeAFE0B7QAPgAQHgAR8BJydBBwGwAUABAQgF4AEXAbAB4BkLAwgFsAGAAeADK+AB
AUAfwAMBsAGAIwEIBYAHgAHAC8AH4BEBAwgFsAHAAeABCwHfAcAL4AMH4AML4BUBAt8BsCAB
QC+AAwDfoAcBsAFAAeADB+AJCwLfAbDgEAHgCxsB3wFAQ4ADAt8BsGABwAfgAwHgARMBCAVA
AwDfYAfgEQEC3wGw4AAB4AML4AMBBd8BCAWwAcABBAgF3wGw4AIBAwgFsAHgBQHgAx/gDwtA
AeABG0BDAggF3yADQAcBsAFAAQsIBbABsAHfAbABsAE=</t>
  </si>
  <si>
    <t>02 20 e0 04 00 00 00 06 02 20 e0 04 00 49 2d 80 af 0d 00 0e e0 00 00 89 00 00 2f</t>
  </si>
  <si>
    <t>02 20 e0 04 00 00 00 06 02 20 e0 04 00 49 2e 80 af 0d 00 0e e0 00 00 89 00 00 30</t>
  </si>
  <si>
    <t>DeMNpAbVAZYB1QH3BNUBQAfgHwPgDy8C1QGWIAEE1QH3BJYgA0AHA9UBlgGAA+ADC8AT4BcH
QAEAlmABQAdAA0ABQAdAA0ABQAfgBwNAAeAFEwL3BJYgAwPVAZYB4AkDAfkm4UkHAJZgAQHV
AUBzwANADwCWIAFADwCWYAFAB0ADQAFAB+AVA4A3AdUBQAPgEwtAG0AD4AcnQA/gAQNAAeAB
D0Av4AUDA5YBlgGAE8AH4AMTA/cE1QFAF+AnA0A3wAMAlmABQAfgEQPAK0AHAJZgAUAH4AsD
QAHAF0AB4AkLgEMB1QFAA+ADC+ADDwLVAZYgAUAFQANAAUAH4AsDQAHgCxfgARNAYwv3BNUB
lgHVAZYBlgE=</t>
  </si>
  <si>
    <t>Bd0NrAazAUABAwkFswHgFQEC5gGz4AIB4BcvQB/AA8ABQA/gPQHgBYvgDQHgBSNAe0AD4AsB
AfYm4QMH4AU34BcBAwkFswHgEwFAH8ADwAFAD+AJAeAZd+ADN+AFC4A7AQkF4AUDQAFAE+Ab
AUAn4AcDQAFAE0ABQAdAA0ABQAdAA+ArAUA3wAPgGwHAK0AH4DcB4ANDAQkFgTPAAQMJBbMB
4DcB4AdDQA8LCQWzAbMBswGzAbMB</t>
  </si>
  <si>
    <t>02 20 e0 04 00 00 00 06 02 20 e0 04 00 49 2f 80 af 0d 00 0e e0 00 00 89 00 00 31</t>
  </si>
  <si>
    <t>02 20 e0 04 00 00 00 06 02 20 e0 04 00 49 30 80 af 0d 00 0e e0 00 00 89 00 00 32</t>
  </si>
  <si>
    <t>EQkOjwaYAZgB2gHyBJgBmAHaAYADQAHAC+ANBwPyBNoBgBtAAeAJC0AfAvIEmCADA9oBmAGA
A+ADCwCYYAFAB+ATA0AB4AMfQAHAD0AB4AsLwBPgBQdAe0AD4AEXQAGADwHRJkEHAdoBQA/g
DyMAmGABQAfgBQPgBS8B2gHgBwNAHwLyBJggAwLaAZhgAQnaAfIEmAGYAdoBgANAAcAL4BUH
A/IE2gHAI+ANC0ABAdoBgAMDmAHyBEADwA/gFQdAJ+ABAwCYYAsAmCABAfIE4AEHgAuAB8AL
QA/gEQNAAcAfQAEE2gHyBJggA0AHA9oBmAHgGQNAJ8AD4AkvAZgBQBUBmAFABUADQAFAB0AD
QAFAB0ADQAEB2gFAR0AHQAPgAwvgCQ9AAYAXAJhgAUAHQANAAUAHwANAAcALgAfgA1dACwvy
BNoBmAHaAZgB2gE=</t>
  </si>
  <si>
    <t>BsoNnQbfAZ8gAQHxBIAHAZ8BQAdAA0ABQAdAA0ABQAdAA0ABCd8B8QSfAZ8B3wGAA0AB4AUL
QB8B8QRABwPfAZ8BgAMI8QSfAZ8B3wGf4AABwAvgAwfgBwvgBw/AAeALF0ATQANAAUAHQANA
AQPfAfEEgAMAn2ABQAdAA0ABA98BGCdBBwWfAZ8B3wFAJwCf4AABwAtAB0ADQAFAB0ADQAEJ
3wHxBJ8BnwHfAYADQAHgBQtAHwHxBEAHA98BnwFAAwGfAYALQAFAD0ADQAFAB8ADQAHgCQvg
AzcH8QSfAZ8B3wFAAwPxBN8BgAcAn2AHAZ8BQAMEnwHxBN9gAwGfAUADQAFAB0ADQAFAB+AB
A8ArgAcAn2AHAJ8gAQHxBOABB4ALgAcH8QSfAZ8B3wHgAQNAAUAPQAFAB0ADQAFAB0ADQAEB
3wFANwHxBEAHA98BnwHAA0AB4A0LQCfAAwGfAUADQAFAB8ADQAHgHQsH8QSfAZ8B3wFAAwPx
BN8BQAcAn2ABCd8B8QSfAZ8B3wGAA0AB4BcLQB9AAUAHQAMEnwHxBN9gAwGfAUADAZ8B4AEP
BZ8BnwHfAQ==</t>
  </si>
  <si>
    <t>02 20 e0 04 00 00 00 06 02 20 e0 04 00 49 31 80 af 0d 00 0e e0 00 00 89 00 00 33</t>
  </si>
  <si>
    <t>DfUNkQbVAZEB1QH0BNUBQAfgHwPgFy9AH8ADwFNAD8AL4GcHAvQEkSADA9UBkQHgCQMB9Cbh
nQcA9OACv+AfC+ADJ+AL+8ATQCfgBwNAG0ATwAfgCwtAG+AFA0AB4AcT4AEPQEPAA+ADF+AP
C8ArQAfgDyPgHxfgA0PgAwtAP+AHD0AT4BUDQAHgDSPAS0AHC/QE1QGRAdUBkQHVAQ==</t>
  </si>
  <si>
    <t>02 20 e0 04 00 00 00 06 02 20 e0 04 00 49 32 80 af 0d 00 0e e0 00 00 89 00 00 34</t>
  </si>
  <si>
    <t>BdINvwayAUABAw0FsgHgEQEC4QGy4AYB4BUvBLIBDQXhIANABwGyAcAB4AELAuEBsuAgAeAj
K+ARAUB7QAPgCwEBEifhAwfgJW/gFy8BDQXgAQPAAUAT4AkB4Bl34AM34AULgDsBDQWAA8AB
4AcP4BMBwCvgAwdAAUAPQAFAB0ADA7IB4QFAB0ADgAEC4QGy4CIBQDfAA4AB4AM/4AMLgAHA
K0AH4AkB4Akv4BMB4AND4AMLQAHgBw/gGQHgA3uAC8BD4AMHCw0FsgGyAbIBsgGyAQ==</t>
  </si>
  <si>
    <t>02 20 e0 04 00 00 00 06 02 20 e0 04 00 49 33 80 af 0d 00 0e e0 00 00 89 00 00 35</t>
  </si>
  <si>
    <t>BdkNqwaxAUABAwwFsQHgFQEC2wGx4AABAdsBgC8C2wGx4A4BQB/AA8ABQA+AAeADN+APC+A3
AeAFV0B7QAOAAQLbAbHgAgEBICfBBwbbAQwF2wGx4CIBAwwFsQHgBQHgAz8B2wFAH8ADwAFA
D+AJAQLbAbHgFgHgAzfgBQvgBTsDDAWxAUABQAdAA+AVAUA7AdsBQCfgBwNAAUATQAFAB0AD
QAFAB0AD4AEBAtsBseAEAeADD+ADCwGxAUA3wAOAAeAFH+AHAcArAQwF4AMnwAvAB+AdAQMM
BbEBwAHgAwsDsQHbAYAPAtsBseAAAeADC+ADAeAPF4ABQEdAA0ABQAcLDAWxAbEBsQGxAdsB</t>
  </si>
  <si>
    <t>02 20 e0 04 00 00 00 06 02 20 e0 04 00 49 34 80 af 0d 00 0e e0 00 00 89 00 00 36</t>
  </si>
  <si>
    <t>BeQNqAaxAUABAw0FsQHgFQEB3QGAA4AB4BcvQB+AA+ABN4AL4DsBQFPgFwHgBSMBDQWAA+AL
AQEBJ+EnB8ABAd0BQFfgEwFAH8ADwAFAD+AJAQLdAbHgFgEBDQXgASMDDQWxAYABAd0BwAvg
CwfAEwSxAd0BseAMAYAXQCfgBwNAAUATQAFAB0ADQAFABwENBYA3gAHgAwvgFQEBDQXgAQPg
DQHgBUvgAS/gBRfgKwEDDQWxAYABAd0B4AELgAHgBw/gEQEC3QGx4AAB4AULQEPAA0AB4AML
A7EBsQE=</t>
  </si>
  <si>
    <t>02 20 e0 04 00 00 00 06 02 20 e0 04 00 49 35 80 af 0d 00 0e e0 00 00 89 00 00 37</t>
  </si>
  <si>
    <t>EtgNsAawAbAB2wELBbABsAHbAbDgHgGAL+ARAQILBdsgA0AHBrABsAHbAbAgAYALQAGAD+Ad
AeAHK+AHD8AB4AMX4AMLgAFAe0AD4AsBAQAnwQcBsAHgCSPgA0vgCQvgAS/gAxvgAQFAH8AD
wAFADwGwAeAHL+ADD+ANC4A3gAHgBQvgAS8BCwVAA4APQAcDCwWwAeAbAUAn4AUDAtsBsCAB
AwsFsAFAAQILBdsgAwGwAUABQAdAA4ABAtsBsOAiAUA3wAMBsAFAO0AD4BEBwCtAB+AJAeAD
O+AZC+ABQwbbAQsF2wGw4AIBAwsFsAHgJQHgAz/gAwuAAUBPwAMHsAGwAbABsAE=</t>
  </si>
  <si>
    <t>02 20 e0 04 00 00 00 06 02 20 e0 04 00 49 36 80 af 0d 00 0e e0 00 00 89 00 00 38</t>
  </si>
  <si>
    <t>BcsNwAazAUABAw4FswHgEQEC4gGz4AYB4BUvAbMBQB/AA8ABQA/gCQHgCVvgPQHgBVdAe0AD
4AsBARUn4R8H4AkB4AFT4AVvwAFAH8ADwAFAD+AJAeANP+ADAeADN+AFC4A7AQ4F4AEDQAHA
D+AbAcAr4AMHQAFAD0ABQAdAA0ABQAdAA+ArAUA3wAPgGwHAK0AH4DcB4ANDAQ4FgTPAAQMO
BbMB4CEB4AM74AEL4ANDQAvAAwezAbMBswGzAQ==</t>
  </si>
  <si>
    <t>02 20 e0 04 00 00 00 06 02 20 e0 04 00 49 37 80 af 0d 00 0e e0 00 00 89 00 00 39</t>
  </si>
  <si>
    <t>BcoNsQaxAUABAwwFsQHgHQEC2wGxIAHgFy9AH8ADAbEB4AMzgAvgFQHgAyPgAwvgKwGAPwIM
BdsgAwGxAeALAQEYJ0EHAtsBsSABAQwFgAfgHwEDDAWxAeABAeADO4ALAgwF2yADQAcBsQHA
AeADC+AJAQLbAbHgAAHgBQuANwLbAbEgAYALQAEB2wHgAQvgAQFAE8AD4BUBAtsBsSABwCvg
AwdAAUAPQAFAB0ADQAFAB0AD4AEBgEOAAeADC+ADAYAXQDfAA4ABgBfgDwECDAXbIANABwGx
AYABAtsBseAAAeADC+AZAeADQ+ADCwCxIAEBDAWAB+A3AQMMBbEBQAFABwIMBdsgAwmxAbEB
2wGxAbEB</t>
  </si>
  <si>
    <t>02 20 e0 04 00 00 00 06 02 20 e0 04 00 49 38 80 af 0d 00 0e e0 00 00 89 00 00 3a</t>
  </si>
  <si>
    <t>Bc0NpwazAUABAwgFswHgIwHgFy9AH8ADwAFADwSzAeABs+AkAeAnL8ABwDeAB0B7QAPgCwEB
FifhAweAL+AfAQMIBbMB4BMBQB/AA8ABQA/gHQHgA4sB4AGANwLgAbMgAQEIBYAHQAEDCAWz
AUABwAdAAUALwAPgFQGAR8Ar4AMHQAFAD0ABQAdAA0ABAggF4CADAbMB4AEBAuABs2ABwAfg
EQFAN8AD4BEB4AFHwCtAB+A3AYBDQFsB4AGAC+ABAeAHD+ArAUBDQANAAUAHwAMHswGzAbMB
swE=</t>
  </si>
  <si>
    <t>02 20 e0 04 00 00 00 06 02 20 e0 04 00 49 39 80 af 0d 00 0e e0 00 00 89 00 00 3b</t>
  </si>
  <si>
    <t>BecNrAayAUABAwoFsgHgFQEC5AGy4AABAeQB4BcvQB/AA8ABQA/gFQEC5AGy4EAB4AVLQHtA
A+ALAQHgJsEHAeQB4A8j4A8B4AkvAuQBsuACAUAfwAPAAUAP4AkB4AU34AsB4AM34AELBuQB
CgXkAbKgAQMKBbIBQAFAB8AD4BUBgDvAK+ADB0ABQA9AAUAHQANAAUAHQAPgAQGAQ+AJAeAJ
F0A3wAOAAeAJI+ADAcArQAfgCQHgFTvgBwHgA0PgAQuAQwEKBYAH4DsBAQoF4AUDB7IBsgGy
AbIB</t>
  </si>
  <si>
    <t>02 20 e0 04 00 00 00 06 02 20 e0 04 00 49 3a 80 af 0d 00 0e e0 00 00 89 00 00 3c</t>
  </si>
  <si>
    <t>BdcNuQazAUABAwsFswHgFQEC6gGz4AIB4BcvQB/AA8ABQA/gYQHgCa/gD38B9ybhIwfgBQHg
D1PAAUAfwAPAAUAP4AkB4AWv4AsB4AM34AELAeoBwAtAB0ADQAFAB8AD4BsBwCvgAwdAAUAP
QAFAB0ADAbMBgG+AC+ApAUA3wAPgGwHAK0AH4AkBAuoBs+AiAeADQ+ADC0AB4AcP4CsBwENA
B+ADAwezAbMBswGzAQ==</t>
  </si>
  <si>
    <t>02 20 e0 04 00 00 00 06 02 20 e0 04 00 49 3b 80 af 0d 00 0e e0 00 00 89 00 00 3d</t>
  </si>
  <si>
    <t>Be4NpAazAUABAwwFswHgIwHgFy9AH8ADBLMB6wGzIAFAD+BvAUB7QAPgCwED7ibuDeE1B4Df
4AsBQHPAA8ABQA/gKwHgAzfgAQsB6wHgAQuAAUAP4AMD4BsB4AMvwAtAAUALQAFAB0ADQAFA
B0AD4CsBQDfAA+AbAcArQAfgNwHgA0PgAwtAAeAHD+ARAQLrAbPgEgFAR+AHAwezAbMBswGz
AQ==</t>
  </si>
  <si>
    <t>02 20 e0 04 00 00 00 06 02 20 e0 04 00 49 3c 80 af 0d 00 0e e0 00 00 89 00 00 3e</t>
  </si>
  <si>
    <t>Bb4NsAazAUABAwsFswHgIwHgFy9AH8ADwAFAD+ApAQLnAbPgOgFAe0AD4AsBASEn4QMH4CVv
AwsFswHgEwFAH8ADwAFAD+ArAeADN+APC0ABQBvgAwPgDQHgBefgAy/gBwvAAUAXQAFAB0AD
4CsBQDfAA+AbAcArQAfgNwHgAUMG5wELBecBs+ACAQMLBbMB4DsBQEfAA8ABBwsFswELBbMB</t>
  </si>
  <si>
    <t>02 20 e0 04 00 00 00 06 02 20 e0 04 00 49 3c 80 3f 0d 00 0e e0 00 00 89 00 00 ce</t>
  </si>
  <si>
    <t>BcQNsQawAUABAw0FsAHgHQEC2QGwIAEBDQWAB+APAQENBeABA8ABQBPgBQHgA0PgGwvgKwGA
VwINBdkgAwGwAeALAQETJ0EHAtkBsCABAQ0FgAfgHwEDDQWwAYABQDdAA8ABgAtAH8ADwAFA
D+ApAQHZAYA3AtkBsCABAQ0FgAcHsAHZAQ0FsAHgAwFAD+ADA+ANAQLZAbBgAYAH4AMvwAvA
AUAPQAHgAwfACwGwAUA/QAPAAeAPC4ABQDfAA4AB4A8vgBcCDQXZIANABwGwAYABAtkBsOAA
AeADC+AZAeADQ+ADCwCwIAHgAQ/gNQFARwINBdkgA0AHDbABsAGwAQ0FsAENBdkB</t>
  </si>
  <si>
    <t>02 20 e0 04 00 00 00 06 02 20 e0 04 00 49 3c 80 4f 0d 00 0e e0 00 00 89 00 00 de</t>
  </si>
  <si>
    <t>BdYNqgaxAUABAwYFsQHgFQEC4gGx4AABAeIBgC8C4gGx4A4BQB/AA8ABQA/gIQHAW8AH4CcB
4AU3QHtAA+ALAQH0JsEHBuIBBgXiAbHgIgEDBgWxAeAFAeADPwHiAUAfgAMC4gGxoAEDBgWx
AeAJAeABH+APAeABNwHiAYALAuIBsSABAQYFgAfAAQEGBeAFA+AVAYA7AgYF4iADQAfgBQNA
AUATQAHgAwfAC4ABAuIBseAAAeAPC4ABQDfAA4AB4AMv4AkBwCtAB4AB4AMv4AML4BkB4AND
4AMLALEgAeABD0ABgBPgKwFAR8ADD7EB4gEGBbEBBgWxAQYF4gE=</t>
  </si>
  <si>
    <t>02 20 e0 04 00 00 00 06 02 20 e0 04 00 49 3c 80 5f 0d 00 0e e0 00 00 89 00 00 ee</t>
  </si>
  <si>
    <t>Bc4Nrwa0AUABAwoFtAHgIwHgFy9AH8ADwAFAD+BdAQLsAbTgBgFAe0AD4AsBAQ8ngQdANeAP
I+APAeAXL0AfwAPAAUAP4CsB4AM34AULQLngAQEBCgXgBQPgGwHgBzPgBw9AAUATQAFAB0AD
4CsBQDfAA+AbAcArQAfgNwHgA0MBCgXhCTPgOwEBCgXgAQPgBAECAbQB</t>
  </si>
  <si>
    <t>02 20 e0 04 00 00 00 06 02 20 e0 04 00 49 3c 80 7f 0d 00 0e e0 00 00 89 00 00 0e</t>
  </si>
  <si>
    <t>Bc4NsQazAUABCAwFswGzAeYBs+AeAYAv4BEBAgwF5iADQAcBswHAAeADC+BVAQLmAbPgBgFA
e0AD4AsBARUn4QcH4CEB4A9TwAFAH8ADwAFAD+AJAeADs+ANC+ADN+AFC+ADLwOzAQwF4AUD
4BsB4AczQA9AAUAHQANAAeADB8AL4CcBQDfAA4AB4AW74AcBwCtAB+AJAeAVO+AHAeABQwHm
AeABC4AB4AcP4C8BQEfgDAMCBbMB</t>
  </si>
  <si>
    <t>02 20 e0 04 00 00 00 06 02 20 e0 04 00 49 3c 80 6f 0d 00 0e e0 00 00 89 00 00 fe</t>
  </si>
  <si>
    <t>BcwNtwaxAUABAwwFsQHgHQEC2QGxIAEBDAWAB4AB4AkLAQwF4AEDAbEBgB9AE+ARAYAjgAHg
DwvgMQECDAXZIAMGsQGxAdkBseAAAYALARYn4QMHgBPgHwEDDAWxAYAB4Ac3gA8CDAXZIANA
BwGxAYABgA/gKQHANwLZAbEgAQEMBYAHA7EB2QHgAQuAAQEMBeAFA+AbAYAzQEvACwGxAUAB
4AMH4AsL4AUBAtkBseAAAeANC0BDAgwF2SADAbEB4BsBQCfgAwOAAQLZAbFgAcAH4B0BQEfA
AQEMBeADOwrZAQwFsQGxAdkBseAAAeADC+ADAeAPFwGxAUBD4AkDCdkBsQGxAbEBsQE=</t>
  </si>
  <si>
    <t>02 20 e0 04 00 00 00 06 02 20 e0 04 00 49 3c 80 af 0d 00 0e e0 01 00 89 00 00 3f</t>
  </si>
  <si>
    <t>BcwNsAazAUABCAsFswGzAeIBs+AeAYAv4BEBQB/AAwGzAYBXQA/gbwFAe0AD4AsBARYn4SsH
4B3TQHPAA8ABQA/gKwHgAzfgBQuAi8ABAQsF4AUD4BsB4AczQA9AAeADB+ALC+AnAUBDwAPg
GwHAK0AH4AkBAeIB4A0X4A0B4AMrBAsF4gGz4AIBAwsFswHgOwFAR+ADAwuzAbMBCwWzAbMB
swE=</t>
  </si>
  <si>
    <t>02 20 e0 04 00 00 00 06 02 20 e0 04 00 49 3c 80 af 0d 00 0e e0 20 00 89 00 00 5e</t>
  </si>
  <si>
    <t>DfANqAbRAZQB0QH4BNEBQAfgBwNAAeADEwLRAZQgAQnRAfgElAGUAdEBQAMC0QGUIAFABQDR
IAEAlCABA9EB+ATgAQNAD0ADQBNAAUALQAMC0QGUIAFABQDRYAFAB0ADAtEBlCABQAUA0WAB
QAfgLwMC0QGUIAEE0QH4BJQgAwTRAdEBlCABQAUA0SABAJQgAQPRAeomQQcFlAGUAdEB4Acj
QBPgEwNAL8AfAtEBlCABQAUA0SABAJQgAQTRAfgElCADQAcE0QGUAdEgAQGUAcALAZQB4BUD
QAHAIwPRAZQBQDcC0QGUIAEJ0QH4BJQBlAHRAUADA/gE0QFAB8ADQA/gAwPAF+ATB+ADL8AL
QC9AC+AHB8ATQBfgJwNAO8ADgDsDFgKUAcAL4AkHwCtAB+ALH+AjE+ADQ+ADC0BD4AcPQBPg
JwNAQ8ADQDvgAwsDlAHRAQ==</t>
  </si>
  <si>
    <t>BuUNlwblAawgAQECBYAHgAHgGQsDAgWsAYAB4A0rQB8CAgXlYAMBrAFAAwGsAUAPAawBQAPg
BwFAE0AD4AcBQBNAA8AB4BsL4A0BAQIFgAMBrAHgA0OAAQflJuUNlwasAUABBAIF5QGs4AAB
4BcLBeUBAgWsAYABAeUBgAPgBQFAHwICBeUgAwasAawB5QGsIAEBAgWAB4ABwAvAB+ADAeAF
E+ADNwMCBawBgAEG5QECBeUBrGABgAdADwECBUAHgAPgAQEC5QGs4AABwAuABwICBeUgA+AD
BwGsAUAB4AMHBAIF5QGsoAEDAgWsAeABAeABF+AFAcAXwAcBrAFANwICBeUgAwWsAawB5QGA
A8ABQA/gBQECAgXlIANABwGsAeAJAQLlAazgDAHgAxfgAQvgAUMB5QHgAwsArCAB4AEP4AMB
gBuAAcALwAfgDQHAR0AHwAMHrAGsAawBrAE=</t>
  </si>
  <si>
    <t>02 20 e0 04 00 00 00 06 02 20 e0 04 00 49 3c 80 af 09 00 0e e0 00 00 89 00 00 3a</t>
  </si>
  <si>
    <t>EfMNlwaZAZkB2gH0BJkBmQHaAYADQAHgCwvAEwXaAfQE2gFAB+APA0AfAvQEmSADA9oBmQFA
AwGZAYALQAFAD0ADQAFAB0ADQAFAB+A3A0AB4ANDQAEE2gH0BJkgAwLaAZlgAUAH4AEDAfgm
QQcB2gFAE4AjAdoB4AkDQAHgCRfgBS9AAQHaAYADQAEB2gFAH8ADQA9AA0APQAfgDQNAAcAb
QAHgAQuAN0ABCdoB9ASZAZkB2gFAAwP0BNoBQAfAA0AP4AEDBZkBmQHaAYADQAHgCwsD2gH0
BOAJA8AX4BMHAJlgAUAHwANAAeALC4AT4ANnwBPgAQdAAcAPQAEE2gH0BJkgA0AHA9oBmQFA
A0ABQAfgKQPgAUPgAwtAAUAPBZkBmQHaAeAtA0ABAdoBQEME9ATaAZkgAUAHgAMJmQGZAdoB
mQHaAQ==</t>
  </si>
  <si>
    <t>02 20 e0 04 00 00 00 06 02 20 e0 04 00 49 3c 80 af 0a 00 0e e0 00 00 89 00 00 3b</t>
  </si>
  <si>
    <t>Bt0NngbXAZogAQH4BIAH4AEFQAngEQOALwHXAeAPA0AfgAMFmgGaAdcBQAMD+ATXAUAHAJpg
AUAH4CMDQAHAL0AB4BsLQAGAJwL4BJogAwPXAZoB4AkDAfkmwQcB1wHgASNAAQHXAYADQAHg
DQuAL0ABwB/AB0ABAdcBQB/AA0APQANAD0AHAJpgAUAH4B0D4AE34BELwBsC+ASaIANABwPX
AZoBQANAAUAH4A0DQCfgBwMAmiABQBMDmgHXAUAHgAMDmgGaAUALBpoBmgHXAZpgAUAH4AsD
QAHgBRcB+ATgAQPgARtAAeADD+ABC+AJL0ABAdcB4AEDQAHAD0AB4BELB/gEmgGaAdcBQAMD
+ATXAUAHwAPgBw/AFwCaYAFAB+ALA0ABwBdAAUALAZoBQEvgAwMHmgHXAZoB1wE=</t>
  </si>
  <si>
    <t>02 20 e0 04 00 00 00 06 02 20 e0 04 00 49 3c 80 af 0b 00 0e e0 00 00 89 00 00 3c</t>
  </si>
  <si>
    <t>BQYOkQasAUABA/kErAGAAQLkAazgCAFAE0AD4AEBgC/gAxPAC4AHQB+AA0APQAMFrAH5BKwB
gAGAD4AB4AML4AMBwBfAB+AnAeADNwPkAfkEQAMBrAHgCQEF5AHZJgYOgQcG5AH5BOQBrGAB
4AcHQAFAE0ADwAEF5AH5BKwBgAEC5AGsYAHAB0ABA+QB+QRAAwCsIAcBrAHAAeABCwLkAazg
AAFAC0ADQAHAB0AB4AEL4AM34AULA+QBrAFAA0ABBOQB+QSsIAPABwGsAYABAuQBrOAIAUAT
QAMErAH5BOQgA0AHQAOAC0ABA/kErAFAAYAHAuQBrCABAvkE5CADAawB4AEBAeQBgAPAAUAP
4AsBAeQBQDeAAwLkAaxgAeAHB+ADAQTkAfkErKADAuQBrOAAAcALwAfAAeATDwrkAfkErAGs
AeQBrCABAfkEgAeAAQrkAfkErAGsAeQBrOAMAeADF0ALQAPAAcALAeQBwENAB4ADQAsJ5AGs
AeQBrAGsAQ==</t>
  </si>
  <si>
    <t>02 20 e0 04 00 00 00 06 02 20 e0 04 00 49 3c 80 af 0c 00 0e e0 00 00 89 00 00 3d</t>
  </si>
  <si>
    <t>BsoNsQbfAbEgAQEKBYAH4B8BAwoFsQHgCQHgAUNAHwIKBd8gAwaxAbEB3wGxIAGAC+AnAYA7
gAHgAwvgJQFAe0AD4AsBAf0mQQcBsQFAAQEKBeADY+ADC+ADAeABFwMKBbEBgAHgARPgAwFA
H8ADwAEBCgXgAyvgAwvgFQEDCgWxAcAB4AELAd8B4AELgAFAD+ADA+AVAQLfAbEgAcAv4AcB
QBdAAUAHAQoFwCsA3yALAbEB4CsBQDeAAwLfAbHgGgEBCgXgAQPgAQFAO0AD4AsB4BEXQEsE
sQHfAbEgAYAL4AEB4AcP4A0BgDvgHwFAUwsKBbEBsQGxAbEB3wE=</t>
  </si>
  <si>
    <t>02 20 e0 04 00 00 00 06 02 20 e0 04 00 49 3c 80 a1 0d 00 0e e0 00 00 89 00 00 30</t>
  </si>
  <si>
    <t>BecNrAayAUABAwwFsgHgFQEC3gGy4AIB4Akv4AkfQCMBDAXgARcDDAWyAeAxAeABRwGyAeAD
C+APAeAFI0B7QAPgCwEB+ybhIwfgBQHgD1PAAUAfgAPgAY8DDAWyAYAB4AETAbIB4AML4A0B
4AM34AULA94BsgFAA4ABAQwF4AUD4BUBgDcBDAXABwGyAeADAYAPAd4BQAdAA0ABQAdAA4AB
At4BsuAiAUA3wAPgGwHAK0AH4DcB4AFDAd4B4AELgAHgBw/gEQEC3gGy4A4B4AdDQA8LDAWy
AbIBsgGyAd4B</t>
  </si>
  <si>
    <t>02 20 e0 04 00 00 00 06 02 20 e0 04 00 49 3c 80 a2 0d 00 0e e0 00 00 89 00 00 31</t>
  </si>
  <si>
    <t>BdoNugayAUABAw0FsgHgFQEC5gGy4AIB4BcvQB/AA8ABQA/gYQHgCa/gD38B+SbhCwfgBT/g
DwHgD1PAAUAfgAPgAU8DDQWyAeAJAeABH+APAeADN+ABCwHmAeABC4ABQA/gAwPgFQEC5gGy
IAHgDy8BDQXgBR9AAQENBYADgAGAH+AfAcA7QAcBsgFAO0AD4BEBQCfAA+A3AUBHgAEB5gHg
AQuAAeAHD+AvAeADR0ALCw0FsgGyAbIBsgGyAQ==</t>
  </si>
  <si>
    <t>02 20 e0 04 00 00 00 06 02 20 e0 04 00 49 3c 80 a3 0d 00 0e e0 00 00 89 00 00 32</t>
  </si>
  <si>
    <t>BcgNrQawAUABBAUF3QGw4AAB4AsLwBOABwMFBbAB4BMBAQUF4AEDAbABQDMK3QEFBbABsAHd
AbDgAAHgDwvgAwHgAyPgDwHgAyPAC+AFBwEFBYAD4AsBARcn4Q8H4AMBwE9AAeABCwMFBbAB
gAFAE0AD4AUBAgUF3SADQAcBsAHAAQMFBbAB4BEBAt0BsOAAAeAFCwMFBbABwAEDBQWwAYAB
4AUXQAEBBQXgAwMC3QGw4AAB4AsLgBMDBQWwAcABAwUFsAHAAQMFBbABQAEBBQWAA0ABAQUF
gAMBsAFAO0ADwAHgAwvgDQEBBQXgAQMBsAHgAy/gAwvgAQEBBQVAAwDdYAcEsAHdAbDgAAHg
AwvgHQEDBQWwAYABCt0BBQWwAbAB3QGwoAEDBQWwAeAhAeABNwGwAeABCwEFBUAD4AcPCbAB
sAGwAbABsAE=</t>
  </si>
  <si>
    <t>02 20 e0 04 00 00 00 06 02 20 e0 04 00 49 3c 80 a4 0d 00 0e e0 00 00 89 00 00 33</t>
  </si>
  <si>
    <t>BcoNsQazAUABAwwFswHgIwHgFy9AH8ADwAFAD+ApAQLhAbPgOgECDAXhIAMBswHgCwEBFifh
AwcC4QGz4CIBAwwFswHgEwFAH8ADgAEB4QFAD+ArAeADN+APC0ABQBvgAwPgGwHAL0ABBAwF
4QGzoAEDDAWzAUABQAdAA0ABQAdAA+ARAeABPwGzAeADCwGzAUA3wAPgGwHAK0AH4DcB4AND
4AMLQAHgBw/gEQHgBc/gCwHAS0AHCwwFswGzAbMBswGzAQ==</t>
  </si>
  <si>
    <t>02 20 e0 04 00 00 00 06 02 20 e0 04 00 49 3c 80 a5 0d 00 0e e0 00 00 89 00 00 34</t>
  </si>
  <si>
    <t>Dc4NrgayAbIB2gEOBbIB4CMB4BcvQB/AA8ABQA/gbwFAe0AD4AsBAQ8nwQcGsgEOBdoBsuAE
AeADD+ADC4AB4Akv4AUBAQ4F4AEDwAFAE+A3AeABQwHaAYALAtoBsuAAAeABC4AbQAHgARMB
sgHAC8AHAbIBQCfgBwNAAUATQAFAB0ADQAFAB0ADgAHgAUPgGwFAN8AD4AEB4BFDwCtAB+Ax
AYBfAQ4FgAdAAQMOBbIB4AMB4AcP4BEB4AFD4AUBAdoBgEMC2gGy4AIBCw4FsgGyAbIBsgGy
AQ==</t>
  </si>
  <si>
    <t>02 20 e0 04 00 00 00 06 02 20 e0 04 00 48 20 80 af 0d 00 0e e0 00 00 89 00 00 21</t>
  </si>
  <si>
    <t>BcINswazAUABAwsFswHgIwHgFy9AH8ADwAFADwSzAeYBs+AkAeAnL+ANAUB7QAPgCwEBGyfh
AwfgJW8DCwWzAeATAUAfwAPAAUAP4BEB4BF/4AM34A8L4AcB4AMnAbMB4BVbQCvgAwNAAUAP
QAFAB0ADQAFAB0AD4CsBQDfAAwGzAeARj8ABwCtAB+AFAeAZO+AHAeABQwHmAeABC4AB4AcP
4C8B4AdHCwsFswGzAbMBswHmAQ==</t>
  </si>
  <si>
    <t>BcwNsgayAUABAwwFsgHgIwHgFy9AH8ADwAFAD+AVAQLjAbLgTgFAe0AD4AsBARMn4QMH4BOD
4AkbAwwFsgHgEwFAH8ADwAFAD+AJAeAJW+ATAUBDwAMBsgHgETtAI+ARAeABN0An4AcDQAFA
E0ABQAdAA0ABQAdAA4AB4AFD4BsBQDfAA+AJAeADS4ALwCtAB+A3AeADQ+ADC0ABAQwFgG/g
FQHgFSMDDAWyAeADAeAEDwIBsgE=</t>
  </si>
  <si>
    <t>02 20 e0 04 00 00 00 06 02 20 e0 04 00 38 20 80 af 0d 00 0e e0 00 00 89 00 00 11</t>
  </si>
  <si>
    <t>BccNsQaxAUABAwwFsQHgFQEC2QGxYAGAB+AXL0AfwAMBsQHgAzOAC4AB4CcL4CsBgGMCDAXZ
IAMBsQHgCwEBGSfhAwcC2QGx4CIBAwwFsQGAAUA3QAPgBQFAH8ADwAFAD+ARAeADQ+AFC4A3
AtkBsSABQAvAAwGxAYAT4AsBQCOAAeADI8ALwAcBsQFAJ+AHA0ABQBNAAUAHQANAAUAHAQwF
wDvgBwfgFQEBDAXgAQPgAQHAQ+AHAQHZAeABLwLZAbHgNgEDDAWxAcABAQwF4AVPAwwFsQHg
HQHgBTfgAQGAF+ADR+ABCwXZAbEBsQE=</t>
  </si>
  <si>
    <t>02 20 e0 04 00 00 00 06 02 20 e0 04 00 39 20 80 af 0d 00 0e e0 00 00 89 00 00 12</t>
  </si>
  <si>
    <t>BfQNqAarAUABA/4EqwGAAQLkAavgAAHgBwvgAQ+AL+ABDwGrAUALQANAAQHkAUAfgAMD5AGr
AUADAasBgAvAAYATgAHgMwvgAwHgB0fgAQ8B/gRAA+ABD+ABAQPkAeQm4ScHwAEJ5AH+BKsB
qwHkAYADwAFAD4ABQB+AA+AFEwGrAUAPQAPAAeAHC+ADD4AB4AFDBOQB/gSroAMD5AGrAUAD
wAHgBQsD/gSrAeARAQHkAYADBKsB/gTkIANAB8ADAuQBqyAB4AMHBf4EqwGrAYAHgAtAAQHk
AYAD4AsBQBvgBQFANwL+BOQgAwGrAYABAuQBq+AAAeAJCwL+BOQgA0AHAasBgAEC5AGrYAFA
B0ADwAHgAwvgDQHgA0OACwHkAYADAasBgA9AAUATwAHgCwvAE8AHQAHgAQvgA0fgAQsFqwGr
AeQB</t>
  </si>
  <si>
    <t>BekNqQawAUABAw4FsAHgCQEC2gGw4AAB4AMLAbAB4A0v4AEBQB/AAwGwAYA7AQ4FgAfgRQHg
A1PgDwsDsAEOBYAD4AsBAfEm4RcH4AMB4AVjQFcEsAHaAbDgDgFAH8ADwAFAD+AJAUBDQAPA
AeAJC+ADN0ALwAMBsAGAK0AP4AcBAQ4FgBvgCQHAF4AHAQ4F4AkDQAFAF0ABQAcBDgXAKwDa
IAsGsAGwAdoBsGABwAfgGQFAN8AD4AUB4AND4AELwCtAB+AdAeABO+AFAQHaAYBDAtoBsCAB
4AMLQAGAD+AbAUA/QAPAAeABC0BDAQ4F4AUPC7ABsAGwAbABsAGwAQ==</t>
  </si>
  <si>
    <t>02 20 e0 04 00 00 00 06 02 20 e0 04 00 39 21 80 af 0d 00 0e e0 00 00 89 00 00 13</t>
  </si>
  <si>
    <t>BeINqQawAUABAw8FsAGAAQLcAbDgAAHgDwsBsAHgAS/gDQFAH8ADAbABgEcBDwWAB4AB4AML
4DMB4ANH4AcL4AEPAQ8FgAPgCwEBACfhCwfgAwHgAUcBsAHgBQtAV+ATAUAfwAPAAUAPgAEC
3AGw4AABQAtAA+ARAeABNwGwAUALwAMBsAHgATdAE4ABgBMBDwWAB4AB4AML4AUBAQ8F4AkD
QAFAF0ABQAcBDwWAP0AHCA8FsAGwAdwBsGABwAfgGQFAN8ADgAHAO8AH4AUBwCtAB+A3AeAD
Q+ADC0AB4AcP4BUB4AOr4AMLgAHAS8AHB7ABsAGwAbAB</t>
  </si>
  <si>
    <t>BtgNpAbiAbAgAQMEBbAB4BUBgCfAAeABL+AFF8ABQB8CBAXiIAMGsAGwAeIBsCAB4AML4AkB
gCPgCQHgAxfgDwvgCwHAK4AHQHtAA+ALAQHnJkEHAbABQAEBBAWAL4AB4AML4A0BAwQFsAGA
AeANK0AfwAMBsAGAIwEEBYAHgAHAC8AH4BEBAwQFsAHAAUALwAMBsAFAOwHiAeABD+ABAUAT
4BUBAuIBsCABQCeAAwDioAcBsAFAAeADBwQEBeIBsCABAQQFgAMBsAGADwGwAcAH4BkBwDsB
BAXgAzPgAwvgBQEBBAVAAwDiYAfgNQHAQwHiAUADQFMAsOACAQMEBbAB4AUB4AMf4AcL4AcP
gAHAQ+AHBwewAbABsAGwAQ==</t>
  </si>
  <si>
    <t>Bc0NrwawAUABAwsFsAHgHQEC3AGwIAEBCwWAB+APAQELBeABAwGwAYArQBPgHQGAL4AB4AML
4DEBAgsF3CADBrABsAHcAbDgAAGACwESJ0EHgAsBCwWAB+AfAQMLBbABgAFAN0ADwAGACwIL
BdwgA0AHAbABwAHgAwvgFQEC3AGw4AABAdwBgDcC3AGwIAECCwXcIANABwawAbAB3AGw4AIB
gBOAAeADC+ANAYA7AgsF3CADQAfgAQNAAUAPQAFAB0ADQAFAB0AD4AEBAtwBsOAMAeADF4AL
QDfAA4ABgBeAAeAJC8ArQAeAAeAJI+AfAeADQ+ADCwCwIAEBCwWAB4AB4AML4CUBAQsFQAOA
Pw8LBbABsAGwAbABsAGwAdwB</t>
  </si>
  <si>
    <t>BckNrAawAUABAw4FsAHgCQEC3AGw4AAB4AMLAbAB4A0v4AEBQB/AAwGwAYA7AQ4FgAeAAeAP
C+BDAeABYwEOBUAD4AEP4AMBAQ0n4RcH4BEBBQ4FsAGwAeANV0ABQB/AA8ABQA/gCQFAQ0AD
wAHgCQvgAzdAC8ADAbABgCtAD0ABwAdAAeABC4AjgAHgAwtAAQHcAUAn4AcDQAFAE0ABQAdA
A0ABQAcEDgXcAbDgAAHgAwvgFQEBDgXgAQOAAeAHO+ADDwHcAeAJL+ADAQLcAbDgIgFAS4AB
BtwBDgXcAbDgAgEDDgWwAeAdAeADN+AFC0BDgAMC3AGwIAEPDgWwAbABsAGwAbABsAGwAQ==</t>
  </si>
  <si>
    <t>02 20 e0 04 00 00 00 06 02 20 e0 04 00 39 22 80 af 0d 00 0e e0 00 00 89 00 00 14</t>
  </si>
  <si>
    <t>02 20 e0 04 00 00 00 06 02 20 e0 04 00 39 23 80 af 0d 00 0e e0 00 00 89 00 00 15</t>
  </si>
  <si>
    <t>02 20 e0 04 00 00 00 06 02 20 e0 04 00 39 24 80 af 0d 00 0e e0 00 00 89 00 00 16</t>
  </si>
  <si>
    <t>02 20 e0 04 00 00 00 06 02 20 e0 04 00 39 25 80 af 0d 00 0e e0 00 00 89 00 00 17</t>
  </si>
  <si>
    <t>BcUNsAazAUABAw0FswHgHQEC5QGzIAHgFy9AH8ADwAFAD+ApAYBv4CkB4AU3QHtAA+ALAQEb
J+EDB+AFN+AXAQMNBbMBgAHgDTdAH8ADwAFAD+ArAeADN0ALwAPgAwHgBxNAD+AbAUAn4AcD
QAFAE0ABQAdAA0ABQAdAA+ArAUA3wAPgGwHAK0AH4AkB4Q1z4A8B4ANDAQ0F4AU7Aw0FswHg
HQHgBTfgDwFAT0ADC7MBswGzAeUBswGzAQ==</t>
  </si>
  <si>
    <t>02 20 e0 04 00 00 00 06 02 20 e0 04 00 39 26 80 af 0d 00 0e e0 00 00 89 00 00 18</t>
  </si>
  <si>
    <t>BbwNtgazAUABAwwFswHgIwHgFy9AH8ADwAFAD+ApAQLoAbPgJAHgDS9Ae0AD4AsBAR0n4QMH
4A0/AbMB4A0XAwwFswGAAeARH0AjQAPAAeADC+AjAeADN0ALwAPAAcAPQAfAAeADC+ANAYC3
QCfgBwNAAUATQAFAB0ADQAFAB0AD4AEBgEPgGwFAN8ADgAHgFTvAK0AH4AkB4BU74AcB4AND
4AMLQAHgBw/gKwHgA0NAC0ADC7MBswGzAbMBswGzAQ==</t>
  </si>
  <si>
    <t>02 20 e0 04 00 00 00 06 02 20 e0 04 00 39 27 80 af 0d 00 0e e0 00 00 89 00 00 19</t>
  </si>
  <si>
    <t>BcQNrQazAUABAwgFswHgIwHgFy9AH8ADwAFAD+ApAQLoAbPgOgFAe0AD4AsBAR0n4QMH4ANv
4A8L4AEBAwgFswGAAeADK+ABAUAfwAPAAUAP4CsB4AM3QAvAA4AB4AV/QBtAAcAH4BcBQCfg
BwNAAUATQAFAB0ADQAFAB0AD4CsBQDfAA+AbAcArQAfgNwHgAUMB6AHgAQuAAeAHD+AvAcBH
QAdAAwuzAbMBswGzAbMBswE=</t>
  </si>
  <si>
    <t>02 20 e0 04 00 00 00 06 02 20 e0 04 00 39 28 80 af 0d 00 0e e0 00 00 89 00 00 1a</t>
  </si>
  <si>
    <t>Bc0NuAazAUABAw4FswHgFQEC6gGz4AIB4BcvQB/AA8ABQA/gYQHgA68B6gFAe0AD4AsBARYn
4SMH4AUB4A9TwAFAH8ADwAFAD+AJAQLqAbPgFgHgAzdAC8ADwAFAD8ABwAvAB+AXAUAn4AcD
QAFAE0ABQAdAA0ABQAdAA+ArAUA3wAPgGwHAK0AH4DcB4AFDBuoBDgXqAbPgAgEDDgWzAeA3
AUBDQANAAUAHQAMLswGzAbMBswGzAbMB</t>
  </si>
  <si>
    <t>02 20 e0 04 00 00 00 06 02 20 e0 04 00 39 29 80 af 0d 00 0e e0 00 00 89 00 00 1b</t>
  </si>
  <si>
    <t>BdkNrgazAUABAwoFswHgFQEC8gGz4AIB4BcvQB/AA8ABQA/gYQHgCa/gD38BFCfhIwfgBQHg
D1PAAUAfwAPAAUAP4AkB4AWv4AsB4AM3QAvAA+ADAUATQAHgBwfgFwFAL+AHA0ABQBNAAUAH
QANAAUAHQAPgKwFAN8AD4BsBwCtAB+AJAeEZM+ADAeABQwHyAeABC4AB4AcP4DMBQEvAAwuz
AbMBswGzAbMBswE=</t>
  </si>
  <si>
    <t>02 20 e0 04 00 00 00 06 02 20 e0 04 00 39 2a 80 af 0d 00 0e e0 00 00 89 00 00 1c</t>
  </si>
  <si>
    <t>BcgNsAayAUABAwwFsgHgHQEC4gGyIAHgFy9AH8ADAbIB4B0z4A0BgDvgNwHgAYvgCQEBFyfh
AwfgJW8DDAWyAeATAUAfwAPAAUAP4CsB4AM3QAvAA8AB4AMPQAtAAcAHAbIB4A/XgBdAJ+AH
AwOyAeIBQBNAAUAHQANAAUAHQAPgAQEC4gGy4AwB4AMXgAtAN8ADgAGAF+APAcArQAfgNwHg
A0PgAwtAAQEMBeAVh+AbAQMMBbIBQAFAB8ADC7IBsgGyAeIBsgGyAQ==</t>
  </si>
  <si>
    <t>02 20 e0 04 00 00 00 06 02 20 e0 04 00 39 2b 80 af 0d 00 0e e0 00 00 89 00 00 1d</t>
  </si>
  <si>
    <t>BcMNsgazAUABAw0FswHgIwHgFy9AH8ADwAFAD+BvAUB7QAPgCwEBFifhAwcC6wGz4CIBAw0F
swHgEwFAH8ADwAFAD+ArAeADN0ALwAPgBwHgAxdAC+AbAUAn4AcDQAFAE0ABQAdAA0ABQAdA
A+ArAUA3wAPgGwHAK0AH4DcB4ANDAQ0F4QXnAw0FswHgHQHgBTfgBwFAR+ADAwuzAbMBswGz
AbMBswE=</t>
  </si>
  <si>
    <t>02 20 e0 04 00 00 00 06 02 20 e0 04 00 39 2c 80 af 0d 00 0e e0 00 00 89 00 00 1e</t>
  </si>
  <si>
    <t>DcsNrwaxAbEB2wENBbEB4AUBAtsBseAAAeADC4AB4Akv4AUBQB/AAwGxAYA/QA/gKQFAO0AD
4AsB4A8X4AkBQHtAA+ALAQEUJ0EHgEsBDQWAB+AfAQMNBbEB4AEB4Ak7QB/AA8ABQA/gKQEB
2wGANwLbAbEgAQINBdsgA0AHAbEBwAHAC0AHQANAAcAHBLEB2wGx4AAB4AkLQCfgBwNAAUAT
QAFAB0ADQAFABwENBeAJQ+AbAQENBeABA4ABQEdAA+ANAeAJL+ADAeARNwGxAeADG4ALQEvA
AeADC0ABAQ0FgCOAAeADC+ADAUAXQAPgDQEBDQXgCQMLsQGxAbEBsQGxAbEB</t>
  </si>
  <si>
    <t>02 20 e0 04 00 00 00 06 02 20 e0 04 00 39 2d 80 af 0d 00 0e e0 00 00 89 00 00 1f</t>
  </si>
  <si>
    <t>02 20 e0 04 00 00 00 06 02 20 e0 04 00 39 2e 80 af 0d 00 0e e0 00 00 89 00 00 20</t>
  </si>
  <si>
    <t>BdYNqwaxAUABAw8FsQHgFQEC4AGx4AIB4BcvQB/AA8ABQA+AAeADS+ADC+ADAeAPF+AfAeAD
PwHgAUB7QAPgCwEBFCfhAwcC4AGx4CIBAw8FsQHgEwFAH8ADwAFAD+AJAeAZd+ADN0ALwAPg
AwHAE0AHQAHAB+AJAcBvgAdAJ+AHA0ABQBNAAUAHAQ8F4AUr4AEBgBfgGQEE4AEPBbGgAwLg
AbFgAcAH4A0BAQ8F4AED4BEB4BVDwAFAS8ABAQ8F4AUzAw8FsQHgHQHgBTfgFwELDwWxAbEB
sQGxAbEB</t>
  </si>
  <si>
    <t>BcsNqwayAUABAw4FsgHgFQEC5AGy4AIB4BcvQB/AAwGyAYA7QA/gYQGAc8ABQHtAA+ALAQEA
J+ELB+AFP+APAeAPU8ABQB/AA8ABQA+AAeADY+ADC+ANAeABNwGyAUALwAPAAQIOBeQgA0AH
gANAAUAL4BkB4AU3QDNAA0AB4AMH4AsL4AEBAuQBsuAaAUBDwAPgAQHgETvAK0AH4A0B4BE7
4AcB4AND4AMLQAHgBw/gHQHgBXvgC0MLDgWyAbIBsgGyAbIB</t>
  </si>
  <si>
    <t>02 20 e0 04 00 00 00 06 02 20 e0 04 00 39 2f 80 af 0d 00 0e e0 00 00 89 00 00 21</t>
  </si>
  <si>
    <t>02 20 e0 04 00 00 00 06 02 20 e0 04 00 39 30 80 af 0d 00 0e e0 00 00 89 00 00 22</t>
  </si>
  <si>
    <t>Bc8NswazAUABAwwFswHgIwHgFy9AH8ADwAFAD+BvAUB7QAMEswHoAbPgBgEBEifhAwfgCR/g
EwEDDAWzAeATAUAfwAPAAUAP4CsB4AM3QAvAA+APAeAXH+ADAcAr4AMHQAFAD0ABQAdAA0AB
QAdAA+ArAUA3wAPgGwHAK0AH4AkB4S+rAegB4AdP4AcP4C8B4AdHCwwFswGzAbMBswGzAQ==</t>
  </si>
  <si>
    <t>BcENsAazAUABAwoFswHgIwHgFy9AH8ADwAFAD+ApAQLnAbPgOgFAe0AD4AsBASUn4QMH4A9v
4A0XAwoFswGAAeARH0AjQAPAAeADC+AjAeADN0ALwAOAAQHnAUAP4AMBQA9AA+AbAUAn4AcD
QAFAE0ABQAdAA0ABQAdAA+ARAQLnAbPgDgFAN8AD4BsBwCtAB+A3AeADQ+ADC0AB4AcP4BEB
4Bnb4AMBCwoFswGzAbMBswGzAQ==</t>
  </si>
  <si>
    <t>02 20 e0 04 00 00 00 06 02 20 e0 04 00 39 31 80 af 0d 00 0e e0 00 00 89 00 00 23</t>
  </si>
  <si>
    <t>BfgNlgazAUABAw0FswHgFQEC5wGz4AIB4BcvQB/AA8ABQA/gYQHgCa/gD38B5ybhIwfgBQHg
D1PAAUAfwAPAAUAP4AkBAucBs+AWAeABNwHnAUALwAPgAwFAE8ABQAtAA+AbAUAn4AcDQAFA
E0ABQAdAA0ABQAdAA4ABAucBs+AiAUA3wAOAAeAVP8ArQAfgCQHgFTvgBwHgAUMG5wENBecB
s+ACAQMNBbMB4D8B4ANLCw0FswGzAbMBswGzAQ==</t>
  </si>
  <si>
    <t>02 20 e0 04 00 00 00 06 02 20 e0 04 00 39 32 80 af 0d 00 0e e0 00 00 89 00 00 24</t>
  </si>
  <si>
    <t>BdUNmwavAUABCAkFrwGvAd8Br+AMAeAJF4AvwAHgAx+ACwIJBd8gA0AHBq8BrwHfAa8gAYAL
4AcBgBvgBQHgAxNAC0AD4AcB4AsT4BEBQHtAA+AFAYBDAQsnQQeACwEJBUAHQAPgFwGAI4Av
QAGAD+ABAYAPQB8BCQVABwGvAcABgAsC3wGv4BgB4AMjAd8B4AM3AQkFgA8HCQWvAa8B3wFA
A0ALBAkF3wGvoAEBCQWAA4AB4AEXAa8B4AcLAd8BwCvgAwdAAUAPQAFAB0ADQAFABwQJBd8B
r2ABQAfAA+AZAQEJBeABA4ABQDvgEQHgCS/gAwHgBzvgAw/gCQsBCQXgARMDCQWvAeADAeAH
D+ABAeABMwGvAeADC+AJAcBDwAdAAQsJBa8BrwGvAa8BrwE=</t>
  </si>
  <si>
    <t>02 20 e0 04 00 00 00 06 02 20 e0 04 00 39 33 80 af 0d 00 0e e0 00 00 89 00 00 25</t>
  </si>
  <si>
    <t>Dd0NkAbeAYgB3gHnBN4BQAfgHwPgFy9AH8ADwFNAD8AL4GcHQHtAA+ALdwH7JuGdB+ADv0AL
wAPgB9NAF0ATQAdAA0AL4BcDQCfgBwNAM0ATwAfgCwtAG+AjA0BDwAPgGzfAK0AH4Bsv4BMj
4AND4AMLQDPgBw9AE+ArA0BHQAPAOwvnBN4BiAHeAYgB3gE=</t>
  </si>
  <si>
    <t>02 20 e0 04 00 00 00 06 02 20 e0 04 00 39 34 80 af 0d 00 0e e0 00 00 89 00 00 26</t>
  </si>
  <si>
    <t>BfENngayAUABAw4FsgHgFQEC3gGy4AIB4Akv4AMfAd4BQB/AA8ABQA/gMQEC3gGy4AAB4AML
4A8B4AUjQHtAA+ALAQHoJsEHBt4BDgXeAbLgIgEDDgWyAeAFAeAFP0AfwAPAAUAP4AkB4AU3
4AsB4AE3Ad4BQAvAAwSyAd4BsiABQA9AAeADB8AL4BcBQCfgBwNAAUATQAFAB0ADQAECDgXe
IAMBsgHgKwFAN8AD4AUBAt4BsuAAAeABC8ArQAfgNwGAQ4BbAQ4FgAfAAQMOBbIB4CEB4AU7
wAFAQ8ADwAELDgWyAbIBsgGyAbIB</t>
  </si>
  <si>
    <t>02 20 e0 04 00 00 00 06 02 20 e0 04 00 39 35 80 af 0d 00 0e e0 00 00 89 00 00 27</t>
  </si>
  <si>
    <t>Bc4NuwayAUABAw0FsgHgFQEC4QGy4AIB4BcvQB/AA8ABQA/gFQHgBWPgEQHgCyfgAxNAC0AD
4AEBQHtAA+ALAQEWJ+EjB+AFAeAPU8ABQB/AA8ABQA/gCQHgBa/gCwHgAzdAC8AD4AMB4AMT
4AML4BEBgHfAK+ADB0ABQA9AAUAHQANAAQINBeEgAwGyAeArAUA3wAOAAQLhAbLgEgHAK0AH
4BEB4AND4AML4AUB4ANDAQ0F4AUnAw0FsgHgHQHgBTfgDwHATwsNBbIBsgGyAbIBsgE=</t>
  </si>
  <si>
    <t>02 20 e0 04 00 00 00 06 02 20 e0 04 00 39 36 80 af 0d 00 0e e0 00 00 89 00 00 28</t>
  </si>
  <si>
    <t>Bd0NpgayAUABAw0FsgHgIwHgFy9AH8ADBLIB5wGyIAFAD+ABAYATgAHgAwvgPwHgBVNAe0AD
4AsBAfIm4V8HgAHgD4cBsgHgBbPgBwHgAzdAC8ADAbIBgDfAD0AHQAFAB0AD4BkBAecBQCfg
BwNAAUATQAFAB0ADQAFAB0AD4AUBAucBsuAaAUA3wAPgAQHgETvAK0AH4A0B4BE74AcB4AND
AQ0F4AU3BQ0FsgGyAeAFE+AnAYBDgAHACwsNBbIBsgGyAbIBsgE=</t>
  </si>
  <si>
    <t>02 20 e0 04 00 00 00 06 02 20 e0 04 00 39 37 80 af 0d 00 0e e0 00 00 89 00 00 29</t>
  </si>
  <si>
    <t>Bc4NrAaxAUABAwwFsQHgHQEC2AGxIAHgFy9AH8ADwAFAD+AFAYBLgAHgGwtAAeADJ+AbAYAv
AgwF2CADBrEBsQHYAbHgBgEBGSfhAwfgCR/gEwEDDAWxAYABQDdAA+AFAUAfwAPAAUAP4B0B
4ANPAdgB4AM3QAvAAwSxAdgBseAGAcAbAQwF4AMb4AsLgBMBDAXgCQNAAUAXQAFABwEMBcAr
ANggCwaxAbEB2AGxYAHAB+AZAUA3wAPgGwHAK0AH4B0B4AOL4AMLAbEB4ANDAQwF4BEb4BUB
QDdAA+ANAQMMBbEBQAHgBwcDsQGxAQ==</t>
  </si>
  <si>
    <t>02 20 e0 04 00 00 00 06 02 20 e0 04 00 39 38 80 af 0d 00 0e e0 00 00 89 00 00 2a</t>
  </si>
  <si>
    <t>02 20 e0 04 00 00 00 06 02 20 e0 04 00 39 39 80 af 0d 00 0e e0 00 00 89 00 00 2b</t>
  </si>
  <si>
    <t>BdkNvgayAUABAw4FsgHgFQEC5gGy4AIB4BcvQB/AA8ABQA/gYQHgCa/gD38B+ybhAwfgBTfg
FwEDDgWyAeATAUAfwAPAAUAP4AkB4A934AEX4AM3QAvAA8ABQA/AAUALgAPgAT/gEwEBDgXg
CQNAAUAXQAFABwEOBYBLAQ4FgAMBsgGAD+AjAcA7QAfgGwFAJ8AD4DcBQEfAAQEOBeAFuwMO
BbIB4B0B4AU34AMBQENAA0AB4AcHA7IBsgE=</t>
  </si>
  <si>
    <t>Df8NewbUAZQB1AH3BNQBQAfgHwPgDS9AAQHUAUADQB8C9wSUIAMD1AGUAYADB/cElAGUAdQB
4AkDQAHgCxfgBRMC1AGUIAFABeApAwH3BEADBZQBlAHUAeAHAwEAJ+FHBwHUAcADAfcE4AED
4AMTwAvgBQdAAeAHE+ABD0BLwA9AC8ADgBNAAQHUAUATwAdAC0ADAJRgAUAH4BEDQCfgBwNA
L0ATwAfgCwtAG+AjA0BDwAPgFTdAAQHUAcArQAdAD+AbA0AB4Asn4AFDAZQB4AELAdQBQAPg
AQ9AAQHUAeAzA0BLQANAQwv3BNQBlAHUAZQB1AE=</t>
  </si>
  <si>
    <t>02 20 e0 04 00 00 00 06 02 20 e0 04 00 39 3a 80 af 0d 00 0e e0 00 00 89 00 00 2c</t>
  </si>
  <si>
    <t>BdUNmwarAUABBPgE5QGr4AAB4AsLwBOAB+AXL0AfAfgEQAcFqwGrAeUBQAPgAQvgCwEC5QGr
4AAB4AcL4AMP4AMBwBfAB0ABwAvAB4ABAvgE5SADBqsBqwHlAatgAUAHQAMDqwENJ0EHgAsB
+ASABwGrAUAHQAPAAeANCwP4BKsBgAFAH0ADwAGACwL4BOUgA0AHBqsBqwHlAasgAQH4BIAH
gAHAC+AHB0ABwBNAAQrlAfgEqwGrAeUBqyABAvgE5SADQAcFqwGrAeUBQANAC0ADQAFABwH4
BIATBKsB5QGr4AAB4AsLAeUBgCtABwCrIAtAAwLlAasgAeADBwP4BKsBQAFAB0ADgAEC5QGr
YAHAB+ALAeABG0A3gANAE0ADQAHAB+ADAYATAfgE4AEDAasBgBMBqwFAB0ADQAHAB+ADAeAD
E+ABC0BLwAEB+ARAF0ADgAED+ASrAYAB4AETAasB4BML4AMbgAHAQ0AHAfgEgB8L+ATlAasB
qwGrAasB</t>
  </si>
  <si>
    <t>02 20 e0 04 00 00 00 06 02 20 e0 04 00 39 3b 80 af 0d 00 0e e0 00 00 89 00 00 2d</t>
  </si>
  <si>
    <t>Bc8NrAayAUABCAsFsgGyAdwBsuAeAYAvwAHgCTdAH8ADwAFAD+AtAeADX+APC+AVAUB7QAPg
CwEBGyfhAwfgA1/gGQEDCwWyAeATAUAfwAPAAUAP4CsB4AM3QAvAA+AHAcAXwAfgFQGA78Ar
AgsF3CADQAcBsgFAAeADB+ALC4ABAdwBgAPAAUAP4A0BQEPAA4AB4BErA7IB3AHAK0AH4AkB
AtwBsuAiAeADQ+ADCwOyAdwB4AUP4BMBAtwBsuAAAeADC4ABQEfAA0ABCwsFsgGyAbIBsgGy
AQ==</t>
  </si>
  <si>
    <t>02 20 e0 04 00 00 00 06 02 20 e0 04 00 39 3c 80 af 0d 00 0e e0 00 00 89 00 00 2e</t>
  </si>
  <si>
    <t>DeUNnQbbAZcB2wH0BNsBQAfgAQNAAcAPQAHAC0AHAZcBgC9AAUAP4AkDQB/AA8AfQA+AC0AB
4BcLwB/gHwdAAcArQAHAC4AHQHtAA8AP4AMHAeQm4SsHQAEJ2wH0BJcBlwHbAeAPAwH0BOAB
A8AjQBMAl2ABQAdAA0ABQAfgFQOANwHbAUADQAvAA0APgANAAQTbAfQElyADQAeAAwGXAeAX
AwGXAcArAfQE4AMLQA8D2wGXAYADwAtAB0ADwBeAB0AB4BkLQDfAAwGXAeALA0ABwBcBlwHA
Kwf0BJcBlwHbAYADQAHAC+APB0AB4AUb4ANDA/QE2wHgAx/gBw/gAxvgEQtAAeAFHwL0BJfg
AgNADwnbASgBPQL0BD0C</t>
  </si>
  <si>
    <t>DdoNngbZAZQB2QHzBNkBQAfgHQMBlAHgFy9AH8ADAZQBgANAD4ALQAHgCwvAE+ArB0ABwDdA
AcALgAdAe0ADwA/gAwcB+SbhBwdAAQHZAYADQAHgEQvgD1PAM0AfwAPgAxMAlGABQAdAA0AB
QAfgFQNAR8AjQAvAA8ATAJRgAQHZAcAXwAdAE+AXA8ArAvMElCADQAfgBQMDlAHZAUATwAfA
C0AP4AUDQAHAE0ABwAuAB0A3wAPAE+ABB0ABwA9AAQTZAfMElCADQAcD2QGUAeA1A+ADQ+AD
C0BX4AcPQBPgFQNAAcAjQAGAC0BH4AwDAgTZAQ==</t>
  </si>
  <si>
    <t>02 20 e0 04 00 00 00 06 02 20 e0 04 00 39 3c 80 7f 0d 00 0e e0 00 00 89 00 00 fe</t>
  </si>
  <si>
    <t>DeINlwbVAZIB1QH2BNUBQAfgHwPgFy9AH8ADwFNAD8AL4GcHQHtAA+ALdwEBJ+E/B0ABAdUB
4AMDQHPAA8AXQA/AC+AjB+ADN0ALwAOAQ0ABgAuAFwCSoAcD1QGSAeAZA0An4AcDAJIgAUAT
A5IB1QFAB0AD4AcLQA/gIwNAQ8AD4Bs3wCvAB+ABM0AB4AMP4BkLQEPAJ+ADC0AT4AEPQAEB
1QHgKwNAQ+ADA0BDC/YE1QGSAdUBkgHVAQ==</t>
  </si>
  <si>
    <t>02 20 e0 04 00 00 00 06 02 20 e0 04 00 39 3c 80 af 0d 00 0e e0 01 00 89 00 00 2f</t>
  </si>
  <si>
    <t>EswNsAawAbAB2AEMBbABsAHYAbDgAAHgAwvgCQGAL8AB4AMrgAsCDAXYIANABwawAbAB2AGw
IAGAC+ArAYA/gAHgAwvgIQECDAXYIAMGsAGwAdgBsOAAAYALAQ8nQQeACwEMBYAH4B8BAwwF
sAGAAUA3QAPAAYALAgwF2CADQAcBsAHAAeADC+AVAQLYAbDgAAEB2AGANwLYAbAgAUALwAMB
sAGAE8ABwBfAB4AB4AMj4AkLwCvgAwdAAUAPA7AB2AFAB0ADQAFABwQMBdgBsOAAAeADC+AD
AeAJFwEMBeABA4ABQCNAA+ANAeAJL+ADAQHYAUAfgAEC2AGw4AAB4A0L4AMr4AELgAHgBw+A
AQLYAbDgDAHgDxcBsAFAR8ADwAEHDAWwAbABsAE=</t>
  </si>
  <si>
    <t>02 20 e0 04 00 00 00 06 02 20 e0 04 00 39 3c 80 af 0d 00 0e e0 20 00 89 00 00 4e</t>
  </si>
  <si>
    <t>BcQNswayAUABAwoFsgHgBQEC3AGy4BIB4AkvwAGAN0AfwAMBsgHgARPgLQGAP+AzAeAHi+AD
AQERJ0EHgGMBCgWAB+AfAQMKBbIBgAHgBzeADwIKBdwgA0AHAbIBwAHgAwvgCQEC3AGy4A4B
4AM3QAvAAwGyAeAFM8AXwAeAAeADI+AJC8Ar4AMHQAFAD0AB4AMHwAvgAQHgA0/gFQFAO8AD
gAHgFTvAK0AH4AsBAQoF4A8/4AkXAwoFsgHAAeADC0AB4AUP4Ak74BsBQEPAA+ADAQcKBbIB
sgGyAQ==</t>
  </si>
  <si>
    <t>BdENvga0AUABAwwFtAHgIwHgFy9AH8ADwAFAD+BvAUB7QAPgCwEBBifhnQfgA79AC8AD4AcB
wBfAB+AbAcAr4AMHQAFAD0ABwAdAAUALQAPgKwFAN8AD4BsBwCtAB+ALAeAPFwS0AekBtOAG
AeADK+ADC0AB4AcP4BEB4AlXwAHAQ0AHQAPAAQcMBbQBtAG0AQ==</t>
  </si>
  <si>
    <t>Bc4NsAazAUABAw0FswHgIwHgFy9AH8ADwAFAD+BvAUB7QAPgCwEBESfhnQfgA79AC8AD4AcB
wBfAB+AVAQLjAbMgAeAPK0AXQAFAB0ADQAFAB0AD4CsBQDfAA+AbAcArQAfgCwHgDxfgCwHg
ASsB4wHgAQuAAeAHD+BDAQcNBbMBswGzAQ==</t>
  </si>
  <si>
    <t>BcoNsgazAUABAw0FswHgIwHgFy9AH8ADBLMB6AGzIAFAD+BhAYBzwAFAe0AD4AsBAQYn4V8H
gAHgD4fgFwHgAzdAC8ADAbMB4A3r4AEf4BkB4AMrQAvAAcALQAdAA0ABQAdAA+ABAeAFf+AT
AUA3wAPgGwHAK0AH4AsB4A8X4AsB4AMrAQ0F4AWzAw0FswHgPwHgB0sHDQWzAbMBswE=</t>
  </si>
  <si>
    <t>BdENrAaxAUABAw4FsQGAAQLcAbHgAAHgDwsBsQHgAS/gDQFAH8ADAbEBgEcBDgWAB4AB4AML
4DMB4ANH4A8LA7EBDgWAA+ALAQH/JuELB+AdAUBX4BEBAdwBQB+AAwLcAbGgAQMOBbEBgAHg
ARMBsQHgAwvgGQHAQwEOBeAVNwMOBbEB4BsBQCeAAwDcoAcBsQFAAeADB+ALC+ANAQLcAbHg
AAHgBQtAQ8AD4BsBwCtAB+A3AYBDAtwBsSABAQ4FgAfAAQMOBbEB4BkB4AUz4AUBAdwBgEMC
3AGx4AABwAsF3AGxAbEB</t>
  </si>
  <si>
    <t>02 20 e0 04 00 00 00 06 02 20 e0 04 00 28 20 80 af 0d 00 0e e0 00 00 89 00 00 01</t>
  </si>
  <si>
    <t>BckNsQazAUABAwwFswHgIwHgFy9AH8ADwAFAD+AdAQLfAbPgAAHgAwvgMQFAe0ADAbMB4AlP
ARgn4QMH4Akf4BMBAwwFswGAAeAHN4APQB/AA8ABQA/gKwHgAzfAC8AH4A8B4BcfwAFAJ+AH
A0ABQBNAAUAHQANAAQIMBd8gAwGzAeArAUA3wAPgGwHAK0AH4AUBAt8Bs+AmAeADQ+ADC0AB
4AcP4C8B4AVH4AKjAgGzAQ==</t>
  </si>
  <si>
    <t>02 20 e0 04 00 00 00 06 02 20 e0 04 00 29 20 80 af 0d 00 0e e0 00 00 89 00 00 02</t>
  </si>
  <si>
    <t>BdQNqAaxAUABAwsFsQGAAQLgAbHgDAHgBRfgAS/gDQFAH8ADAbEBgDtAD+BVAYBngAHgAwsB
sQFAe0AD4AsBAfsm4QsH4B0B4A9TwAFAH4AD4AGPAwsFsQHgCQHgAR/gDwHgAzeACwHgAcAH
ALEgAYAL4AUB4AsT4AEBgDdAAUAnAgsF4CADQAdAAwLgAbEgAQMLBbEBQAFAB0ADQAFAB0AD
AbEBQCNAA+AhAUA3wAMBsQHgDzvgAReAKwDgYAfgBQEC4AGx4CYBAwsFsQHAAYAL4AFDgA/g
GwFAM0AD4AkBQEMBCwXgDRsDsQHgAQ==</t>
  </si>
  <si>
    <t>02 20 e0 04 00 00 00 06 02 20 e0 04 00 29 21 80 af 0d 00 0e e0 00 00 89 00 00 03</t>
  </si>
  <si>
    <t>BcoNsQa0AUABAwoFtAHgIwHgFy8CCgXmIANABwG0AcAB4AML4GcBQHtAA+ALAQEPJ+EDBwLm
AbTgIgEDCgW0AeATAUAfwAPAAUAP4AkB4Bl34AM3wAvAB8AB4BcP4A8BQDfgBwNAAUATQAFA
B0ADQAFAB0AD4CsBQDfAA+AbAcArQAfgNwHgA0PgAwtAAeAHD+AzAeAMSwIB5gE=</t>
  </si>
  <si>
    <t>02 20 e0 04 00 00 00 06 02 20 e0 04 00 29 22 80 af 0d 00 0e e0 00 00 89 00 00 04</t>
  </si>
  <si>
    <t>BtENmQblAakgAQP2BKkB4AEBgBMBqQFAB0ADQAHgBQfgBS9AAcAfgAFAHwL2BOUgAwWpAakB
5QFAA+ABC8ABAuUBqeAAAcALQAdAA0ABQAdAA8AB4CMLwCuAB0B7AfYEgAuAAeABCwEWJ0EH
AakBQAHgDyMBqQHAL0AHQAOAAQP2BKkBgAHAE0AHQAOAAUAfAvYE5WADAakBQAMBqQFADwCp
4AABwAvgBwdAAeAFE+ADNwP2BKkBQAGAB0AngAMD9gTlAUALQAcC9gSpIAMC5QGpYAHAB0AB
wAtAB4ADAvYEqaAD4AELAakBgAtAAQH2BIADQAGACwLlAangAAFAC0ADwAHgEQsC9gSpoAMC
5QGpYAFAB0ADwAHgBQsC9gSpoAMC5QGp4AABwAvAB8AB4AMPwAtAB0ADAakB4AFDAeUB4AML
gA8AqWAHQAWAAeADC8ABQBNAA8AB4A0LQEsC9gTlIAMNqQGpAeUBqQGpAakBqQE=</t>
  </si>
  <si>
    <t>02 20 e0 04 00 00 00 06 02 20 e0 04 00 29 3a 80 af 0d 00 0e e0 00 00 89 00 00 1c</t>
  </si>
  <si>
    <t>DeQNmgaxAbEB3AELBbEB4B0BAtwBsSABAQsFgAeAAeAJCwELBeABAwGxAYAfQBPgHQGAL4AB
4AML4CsBgD8CCwXcIAMGsQGxAdwBseAAAYALARUnwQcDsQELBYAT4B8BAwsFsQGAAUA3QAPg
BQFAH8ADwAFAD+ArAeADN8ALwAdAAUALQANAAQILBdwgA0AHAbEBgAEC3AGx4AwBgBdAJ+AH
A0ABQBMDsQHcAUAHQANAAUAHQAPgAQEC3AGx4B4BQDfAA4ABQDtAA+ANAcArQAfgCQFAN0AD
4BcBgCPgA0MBCwWAE8ABAwsFsQHgDQHgBSfgEwHAQ0AHwAMLsQGxAbEB3AGxAbEB</t>
  </si>
  <si>
    <t>02 20 e0 04 00 00 00 06 02 20 e0 04 00 29 3b 80 af 0d 00 0e e0 00 00 89 00 00 1d</t>
  </si>
  <si>
    <t>BcwNwQayAUABAwgFsgHgIwHgFy9AH8ADBLIB2gGyIAFAD+ApAYA74AEB4AMP4A8L4AkBQHtA
A+ALAQERJ+EDB0BTQAPAAeADC+AJAQMIBbIBgAHgByeADwIIBdogA0AHAbIBwAGACwLaAbLg
JgHgAzeACwOyAQgF4AlHAQgF4AUD4BsBgDMA2qAHgA9AAUALQAFAB0ADQAFAB0AD4AkBAtoB
suAWAUA3wAPgEQHgAUeAKwDaYAcEsgHaAbLgMgEFCAWyAbIBQEMB2gGAC+ABAeAHD+AhAQLa
AbLgAgFAR4ADANpgBwuyAbIBsgGyAbIBsgE=</t>
  </si>
  <si>
    <t>02 20 e0 04 00 00 00 06 02 20 e0 04 00 29 3c 80 af 0d 00 0e e0 00 00 89 00 00 1e</t>
  </si>
  <si>
    <t>SUM_DEC_HEX</t>
  </si>
  <si>
    <t>Byte #</t>
  </si>
  <si>
    <t>Bits_LSB_FST</t>
  </si>
  <si>
    <t>Field</t>
  </si>
  <si>
    <t>Remarks</t>
  </si>
  <si>
    <t>check_sum</t>
  </si>
  <si>
    <t>valid</t>
  </si>
  <si>
    <t>02 20 e0 04 00 00 00 06 02 20 e0 04 00 49 3c 80 af 06 00 0e e0 00 00 89 00 00 37</t>
  </si>
  <si>
    <t>02 20 e0 04 00 00 00 06 02 20 e0 04 00 39 3c 80 3f 0d 00 0e e0 00 00 89 00 00 be</t>
  </si>
  <si>
    <t>02 20 e0 04 00 00 00 06 02 20 e0 04 00 39 3c 80 4f 0d 00 0e e0 00 00 89 00 00 ce</t>
  </si>
  <si>
    <t>02 20 e0 04 00 00 00 06 02 20 e0 04 00 39 3c 80 5f 0d 00 0e e0 00 00 89 00 00 de</t>
  </si>
  <si>
    <t>02 20 e0 04 00 00 00 06 02 20 e0 04 00 39 3c 80 6f 0d 00 0e e0 00 00 89 00 00 ee</t>
  </si>
  <si>
    <t>02 20 e0 04 00 00 00 06 02 20 e0 04 00 39 3c 80 af 06 00 0e e0 00 00 89 00 00 27</t>
  </si>
  <si>
    <t>02 20 e0 04 00 00 00 06 02 20 e0 04 00 39 3c 80 af 09 00 0e e0 00 00 89 00 00 2a</t>
  </si>
  <si>
    <t>02 20 e0 04 00 00 00 06 02 20 e0 04 00 39 3c 80 af 0a 00 0e e0 00 00 89 00 00 2b</t>
  </si>
  <si>
    <t>02 20 e0 04 00 00 00 06 02 20 e0 04 00 39 3c 80 af 0b 00 0e e0 00 00 89 00 00 2c</t>
  </si>
  <si>
    <t>02 20 e0 04 00 00 00 06 02 20 e0 04 00 39 3c 80 af 0c 00 0e e0 00 00 89 00 00 2d</t>
  </si>
  <si>
    <t>02 20 e0 04 00 00 00 06 02 20 e0 04 00 39 3c 80 a1 0d 00 0e e0 00 00 89 00 00 20</t>
  </si>
  <si>
    <t>02 20 e0 04 00 00 00 06 02 20 e0 04 00 39 3c 80 a2 0d 00 0e e0 00 00 89 00 00 21</t>
  </si>
  <si>
    <t>02 20 e0 04 00 00 00 06 02 20 e0 04 00 39 3c 80 a3 0d 00 0e e0 00 00 89 00 00 22</t>
  </si>
  <si>
    <t>02 20 e0 04 00 00 00 06 02 20 e0 04 00 39 3c 80 a4 0d 00 0e e0 00 00 89 00 00 23</t>
  </si>
  <si>
    <t>02 20 e0 04 00 00 00 06 02 20 e0 04 00 39 3c 80 a5 0d 00 0e e0 00 00 89 00 00 24</t>
  </si>
  <si>
    <t>02 20 e0 04 00 00 00 06 02 20 e0 04 00 29 23 80 af 0d 00 0e e0 00 00 89 00 00 05</t>
  </si>
  <si>
    <t>02 20 e0 04 00 00 00 06 02 20 e0 04 00 29 26 80 af 0d 00 0e e0 00 00 89 00 00 08</t>
  </si>
  <si>
    <t>02 20 e0 04 00 00 00 06 02 20 e0 04 00 29 25 80 af 0d 00 0e e0 00 00 89 00 00 07</t>
  </si>
  <si>
    <t>02 20 e0 04 00 00 00 06 02 20 e0 04 00 29 24 80 af 0d 00 0e e0 00 00 89 00 00 06</t>
  </si>
  <si>
    <t>02 20 e0 04 00 00 00 06 02 20 e0 04 00 29 27 80 af 0d 00 0e e0 00 00 89 00 00 09</t>
  </si>
  <si>
    <t>02 20 e0 04 00 00 00 06 02 20 e0 04 00 29 28 80 af 0d 00 0e e0 00 00 89 00 00 0a</t>
  </si>
  <si>
    <t>02 20 e0 04 00 00 00 06 02 20 e0 04 00 29 29 80 af 0d 00 0e e0 00 00 89 00 00 0b</t>
  </si>
  <si>
    <t>02 20 e0 04 00 00 00 06 02 20 e0 04 00 29 2a 80 af 0d 00 0e e0 00 00 89 00 00 0c</t>
  </si>
  <si>
    <t>02 20 e0 04 00 00 00 06 02 20 e0 04 00 29 2b 80 af 0d 00 0e e0 00 00 89 00 00 0d</t>
  </si>
  <si>
    <t>02 20 e0 04 00 00 00 06 02 20 e0 04 00 29 2c 80 af 0d 00 0e e0 00 00 89 00 00 0e</t>
  </si>
  <si>
    <t>02 20 e0 04 00 00 00 06 02 20 e0 04 00 29 2d 80 af 0d 00 0e e0 00 00 89 00 00 0f</t>
  </si>
  <si>
    <t>02 20 e0 04 00 00 00 06 02 20 e0 04 00 29 2e 80 af 0d 00 0e e0 00 00 89 00 00 10</t>
  </si>
  <si>
    <t>02 20 e0 04 00 00 00 06 02 20 e0 04 00 29 2f 80 af 0d 00 0e e0 00 00 89 00 00 11</t>
  </si>
  <si>
    <t>02 20 e0 04 00 00 00 06 02 20 e0 04 00 29 30 80 af 0d 00 0e e0 00 00 89 00 00 12</t>
  </si>
  <si>
    <t>02 20 e0 04 00 00 00 06 02 20 e0 04 00 29 31 80 af 0d 00 0e e0 00 00 89 00 00 13</t>
  </si>
  <si>
    <t>02 20 e0 04 00 00 00 06 02 20 e0 04 00 29 32 80 af 0d 00 0e e0 00 00 89 00 00 14</t>
  </si>
  <si>
    <t>02 20 e0 04 00 00 00 06 02 20 e0 04 00 29 33 80 af 0d 00 0e e0 00 00 89 00 00 15</t>
  </si>
  <si>
    <t>02 20 e0 04 00 00 00 06 02 20 e0 04 00 29 34 80 af 0d 00 0e e0 00 00 89 00 00 16</t>
  </si>
  <si>
    <t>02 20 e0 04 00 00 00 06 02 20 e0 04 00 29 35 80 af 0d 00 0e e0 00 00 89 00 00 17</t>
  </si>
  <si>
    <t>02 20 e0 04 00 00 00 06 02 20 e0 04 00 29 36 80 af 0d 00 0e e0 00 00 89 00 00 18</t>
  </si>
  <si>
    <t>02 20 e0 04 00 00 00 06 02 20 e0 04 00 29 37 80 af 0d 00 0e e0 00 00 89 00 00 19</t>
  </si>
  <si>
    <t>02 20 e0 04 00 00 00 06 02 20 e0 04 00 29 38 80 af 0d 00 0e e0 00 00 89 00 00 1a</t>
  </si>
  <si>
    <t>02 20 e0 04 00 00 00 06 02 20 e0 04 00 29 39 80 af 0d 00 0e e0 00 00 89 00 00 1b</t>
  </si>
  <si>
    <t>02 20 e0 04 00 00 00 06 02 20 e0 04 00 29 3c 80 3f 0d 00 0e e0 00 00 89 00 00 ae</t>
  </si>
  <si>
    <t>02 20 e0 04 00 00 00 06 02 20 e0 04 00 29 3c 80 4f 0d 00 0e e0 00 00 89 00 00 be</t>
  </si>
  <si>
    <t>02 20 e0 04 00 00 00 06 02 20 e0 04 00 29 3c 80 5f 0d 00 0e e0 00 00 89 00 00 ce</t>
  </si>
  <si>
    <t>02 20 e0 04 00 00 00 06 02 20 e0 04 00 29 3c 80 6f 0d 00 0e e0 00 00 89 00 00 de</t>
  </si>
  <si>
    <t>02 20 e0 04 00 00 00 06 02 20 e0 04 00 29 3c 80 7f 0d 00 0e e0 00 00 89 00 00 ee</t>
  </si>
  <si>
    <t>02 20 e0 04 00 00 00 06 02 20 e0 04 00 29 3c 80 af 0d 00 0e e0 01 00 89 00 00 1f</t>
  </si>
  <si>
    <t>02 20 e0 04 00 00 00 06 02 20 e0 04 00 29 3c 80 af 0d 00 0e e0 20 00 89 00 00 3e</t>
  </si>
  <si>
    <t>02 20 e0 04 00 00 00 06 02 20 e0 04 00 29 3c 80 af 06 00 0e e0 00 00 89 00 00 17</t>
  </si>
  <si>
    <t>02 20 e0 04 00 00 00 06 02 20 e0 04 00 29 3c 80 af 09 00 0e e0 00 00 89 00 00 1a</t>
  </si>
  <si>
    <t>02 20 e0 04 00 00 00 06 02 20 e0 04 00 29 3c 80 af 0a 00 0e e0 00 00 89 00 00 1b</t>
  </si>
  <si>
    <t>02 20 e0 04 00 00 00 06 02 20 e0 04 00 29 3c 80 af 0b 00 0e e0 00 00 89 00 00 1c</t>
  </si>
  <si>
    <t>02 20 e0 04 00 00 00 06 02 20 e0 04 00 29 3c 80 af 0c 00 0e e0 00 00 89 00 00 1d</t>
  </si>
  <si>
    <t>02 20 e0 04 00 00 00 06 02 20 e0 04 00 29 3c 80 a1 0d 00 0e e0 00 00 89 00 00 10</t>
  </si>
  <si>
    <t>02 20 e0 04 00 00 00 06 02 20 e0 04 00 29 3c 80 a2 0d 00 0e e0 00 00 89 00 00 11</t>
  </si>
  <si>
    <t>02 20 e0 04 00 00 00 06 02 20 e0 04 00 29 3c 80 a3 0d 00 0e e0 00 00 89 00 00 12</t>
  </si>
  <si>
    <t>02 20 e0 04 00 00 00 06 02 20 e0 04 00 29 3c 80 a4 0d 00 0e e0 00 00 89 00 00 13</t>
  </si>
  <si>
    <t>02 20 e0 04 00 00 00 06 02 20 e0 04 00 29 3c 80 a5 0d 00 0e e0 00 00 89 00 00 14</t>
  </si>
  <si>
    <t>header</t>
  </si>
  <si>
    <t>02</t>
  </si>
  <si>
    <t>20</t>
  </si>
  <si>
    <t>e0</t>
  </si>
  <si>
    <t>00</t>
  </si>
  <si>
    <t>04</t>
  </si>
  <si>
    <t>06</t>
  </si>
  <si>
    <t>on/off/mode</t>
  </si>
  <si>
    <t>temp</t>
  </si>
  <si>
    <t>unknown</t>
  </si>
  <si>
    <t>swing_leftright</t>
  </si>
  <si>
    <t>quiet</t>
  </si>
  <si>
    <t>checksum</t>
  </si>
  <si>
    <t>on/off</t>
  </si>
  <si>
    <t>4-6</t>
  </si>
  <si>
    <t>mode</t>
  </si>
  <si>
    <t>4-7</t>
  </si>
  <si>
    <t>7</t>
  </si>
  <si>
    <t>0-5</t>
  </si>
  <si>
    <t>16-30 degrees, 0.5 per stage, 16: 100000 - 30: 111100</t>
  </si>
  <si>
    <t>6-7</t>
  </si>
  <si>
    <t>fan_speed</t>
  </si>
  <si>
    <t>swing_updown</t>
  </si>
  <si>
    <t>0-3</t>
  </si>
  <si>
    <t>auto: 000, dry: 010, cool: 011, heat: 100</t>
  </si>
  <si>
    <t>auto: 1010, 1: 0011, 2: 0100, 3: 0101, 4: 0110, 5: 0111</t>
  </si>
  <si>
    <t>auto: 1111, 1: 0001, 2: 0010, 3: 0011, 5: 0100, 5: 0101</t>
  </si>
  <si>
    <t>1:0110,2:1001,3:1010,4:1011,5:1100, a:1101</t>
  </si>
  <si>
    <t>auto :1101, 1: 0110, 2: 1001, 3: 1010, 4: 1011, 5: 1100</t>
  </si>
  <si>
    <t>0</t>
  </si>
  <si>
    <t>1-4</t>
  </si>
  <si>
    <t>5</t>
  </si>
  <si>
    <t>fan_powerful</t>
  </si>
  <si>
    <t>fan_quiet</t>
  </si>
  <si>
    <t>on:1 off:0</t>
  </si>
  <si>
    <t>cs</t>
  </si>
  <si>
    <t>dec2hex(mod(sum(hex2dec(0-25))-12, 256))</t>
  </si>
  <si>
    <t>89</t>
  </si>
  <si>
    <t>fan#2</t>
  </si>
  <si>
    <t>0e</t>
  </si>
  <si>
    <t>swing_lr</t>
  </si>
  <si>
    <t>1:001,2:010,3:011,4:100,5:101</t>
  </si>
  <si>
    <t>a:1111</t>
  </si>
  <si>
    <t>1:011,2:100,3:101,4:110,5:111</t>
  </si>
  <si>
    <t>a:1010</t>
  </si>
  <si>
    <t>fan#1/swing_ud</t>
  </si>
  <si>
    <t>80</t>
  </si>
  <si>
    <t>2:10 3:11</t>
  </si>
  <si>
    <t>20-3c</t>
  </si>
  <si>
    <t>ON/OFF</t>
  </si>
  <si>
    <t>a:000 d:010 c:011 h:100</t>
  </si>
  <si>
    <t>static</t>
  </si>
  <si>
    <t>hex/bits</t>
  </si>
  <si>
    <t>value</t>
  </si>
  <si>
    <t>ir#1</t>
  </si>
  <si>
    <t>ir#2</t>
  </si>
  <si>
    <t>1</t>
  </si>
  <si>
    <t>2</t>
  </si>
  <si>
    <t>3</t>
  </si>
  <si>
    <t>4</t>
  </si>
  <si>
    <t>6</t>
  </si>
  <si>
    <t>8</t>
  </si>
  <si>
    <t>9</t>
  </si>
  <si>
    <t>10</t>
  </si>
  <si>
    <t>11</t>
  </si>
  <si>
    <t>12</t>
  </si>
  <si>
    <t>13</t>
  </si>
  <si>
    <t>econavi_onoff/nanoe/timer</t>
  </si>
  <si>
    <t>BeENvwawAUABAwwFsAHgFQEC2wGw4AABAdsBgC8C2wGw4AAB4AULQB/AA8ABQA/gMQEC2wGw
 4AAB4A8L4AMB4AMjAbABQHtAA4AB4AUbAesm4RcH4AMv4AULgFMC2wGw4A4BQB/AA8ABQA/g
 CQFAQ0ADwAHgAwsBsAFAM0AD4AMBwA8BDAWAKwEMBYADwAHgBw9AAUATQAHABwuwAdsBsAHb
 AbABsAE=</t>
  </si>
  <si>
    <t>value(hex)</t>
  </si>
  <si>
    <t>L: 0,2,3,4    R: 8,9</t>
  </si>
  <si>
    <t>L: a,3-7.      R: f,1-5</t>
  </si>
  <si>
    <t>L: 0,2           R: 1,0</t>
  </si>
  <si>
    <t>L:0                R:d,6,9-c</t>
  </si>
  <si>
    <t>0e-1f, 51-52, 68</t>
  </si>
  <si>
    <t>10, 33, f2</t>
  </si>
  <si>
    <t>11, 10</t>
  </si>
  <si>
    <t>0001, 0011, 1111</t>
  </si>
  <si>
    <t>1-7</t>
  </si>
  <si>
    <t>14</t>
  </si>
  <si>
    <t>econavi_onoff/nanoe/timer (0e-1f, 51-52, 68)</t>
  </si>
  <si>
    <t>0-1</t>
  </si>
  <si>
    <t>2-3</t>
  </si>
  <si>
    <t>econavi_onoff/nanoe/timer (10, 33, f2)</t>
  </si>
  <si>
    <t>15</t>
  </si>
  <si>
    <t>02 20 e0 04 00 00 00 06 02 20 e0 04 80 53 33 0c</t>
  </si>
  <si>
    <t>0x0 - 0xf</t>
  </si>
  <si>
    <t>BeUNvQayAUABAw4FsgHgFQEC5AGy4AIB4BcvQB/AA8ABQA/gYQHgCa/gAX/gBRsB4ybhIwfg
BQGAU+AFT+ADAUAfwAPAAUAP4AkB4AdD4AUP4AczwA9ABwEOBeABKwMOBbIBwAFAC+ADA+AL
AQsOBbIBDgWyAQ4FsgE=</t>
  </si>
  <si>
    <t>BdwNsgazAUABAwsFswHgIwGALwLpAbPgDgFAH8ADwAFAD+BhAeAFm0B7QAPgCwEB+CbhNwfg
EQFAc8ADwAFAD+AJAeAFr+AHAcAzwAdAAcALAQsFgDsBCwWAA8AB4BMPQBvgBAECAbMB</t>
  </si>
  <si>
    <t>BdENsQa0AUABAw8FtAHgIwHgFy9AH8ADwAFAD+BvAUB7QAPgCwEBCyfhewcC8QG04BIB4Ae7
wA9AB0ADwAHgBwtAD8AD4AsBCw8FtAEPBbQBDwW0AQ==</t>
  </si>
  <si>
    <t>BdUNrAazAUABAw4FswHgIwHgFy9AH8ADwAFAD+BvAUB7QAPgCwEBByfhHwcC6AGz4AYB4A9T
wAFAH8ADwAFAD+AJAeAJW+ADAUAzQAPgAwHAD+ADB8ALQAFAC0AD4AMBwA/ABwuzAbMBswGz
AbMBswE=</t>
  </si>
  <si>
    <t>01</t>
  </si>
  <si>
    <t>1-2</t>
  </si>
  <si>
    <t>02 20 e0 04 00 00 00 06 02 20 e0 04 00 39 2e 80 31 06 00 0e e0 00 00 89 00 00 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</si>
</sst>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6"/>
      <color theme="1"/>
      <name val="Aptos Narrow"/>
      <scheme val="minor"/>
    </font>
    <font>
      <sz val="16"/>
      <color theme="1"/>
      <name val="Aptos Narrow (Body)"/>
    </font>
    <font>
      <sz val="16"/>
      <color rgb="FF000000"/>
      <name val="Aptos Narrow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17" fontId="2" fillId="0" borderId="0" xfId="0" applyNumberFormat="1" applyFont="1"/>
    <xf numFmtId="0" fontId="6" fillId="0" borderId="0" xfId="0" applyFont="1"/>
    <xf numFmtId="0" fontId="7" fillId="0" borderId="0" xfId="0" applyFont="1"/>
    <xf numFmtId="49" fontId="4" fillId="0" borderId="0" xfId="0" applyNumberFormat="1" applyFont="1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quotePrefix="1" applyFont="1"/>
    <xf numFmtId="49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5982-86D2-324B-8B49-CC12A83F944F}">
  <sheetPr codeName="Sheet1"/>
  <dimension ref="A1:AK73"/>
  <sheetViews>
    <sheetView topLeftCell="G1" workbookViewId="0">
      <selection activeCell="F3" sqref="F3"/>
    </sheetView>
  </sheetViews>
  <sheetFormatPr baseColWidth="10" defaultRowHeight="23" customHeight="1" x14ac:dyDescent="0.3"/>
  <cols>
    <col min="1" max="1" width="14" style="2" bestFit="1" customWidth="1"/>
    <col min="2" max="2" width="10.83203125" style="2"/>
    <col min="3" max="3" width="11.6640625" style="2" customWidth="1"/>
    <col min="4" max="4" width="18.83203125" style="2" bestFit="1" customWidth="1"/>
    <col min="5" max="5" width="19.6640625" style="2" bestFit="1" customWidth="1"/>
    <col min="6" max="6" width="38.83203125" style="2" customWidth="1"/>
    <col min="7" max="7" width="87.83203125" style="2" bestFit="1" customWidth="1"/>
    <col min="8" max="8" width="24.83203125" style="2" bestFit="1" customWidth="1"/>
    <col min="9" max="9" width="13.5" style="2" bestFit="1" customWidth="1"/>
    <col min="10" max="10" width="9.83203125" style="2" customWidth="1"/>
    <col min="11" max="11" width="3.83203125" style="2" bestFit="1" customWidth="1"/>
    <col min="12" max="37" width="4.1640625" style="2" customWidth="1"/>
    <col min="38" max="16384" width="10.83203125" style="2"/>
  </cols>
  <sheetData>
    <row r="1" spans="1:37" ht="23" customHeight="1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1" t="s">
        <v>16</v>
      </c>
      <c r="G1" s="2" t="s">
        <v>4</v>
      </c>
      <c r="H1" s="2" t="s">
        <v>332</v>
      </c>
      <c r="I1" s="2" t="s">
        <v>337</v>
      </c>
      <c r="J1" s="7" t="s">
        <v>338</v>
      </c>
      <c r="K1" s="5">
        <v>0</v>
      </c>
      <c r="L1" s="5">
        <v>1</v>
      </c>
      <c r="M1" s="5">
        <v>2</v>
      </c>
      <c r="N1" s="5">
        <v>3</v>
      </c>
      <c r="O1" s="5">
        <v>4</v>
      </c>
      <c r="P1" s="5">
        <v>5</v>
      </c>
      <c r="Q1" s="5">
        <v>6</v>
      </c>
      <c r="R1" s="5">
        <v>7</v>
      </c>
      <c r="S1" s="5">
        <v>8</v>
      </c>
      <c r="T1" s="5">
        <v>9</v>
      </c>
      <c r="U1" s="5">
        <v>10</v>
      </c>
      <c r="V1" s="5">
        <v>11</v>
      </c>
      <c r="W1" s="5">
        <v>12</v>
      </c>
      <c r="X1" s="8">
        <v>13</v>
      </c>
      <c r="Y1" s="8">
        <v>14</v>
      </c>
      <c r="Z1" s="5">
        <v>15</v>
      </c>
      <c r="AA1" s="8">
        <v>16</v>
      </c>
      <c r="AB1" s="8">
        <v>17</v>
      </c>
      <c r="AC1" s="5">
        <v>18</v>
      </c>
      <c r="AD1" s="5">
        <v>19</v>
      </c>
      <c r="AE1" s="5">
        <v>20</v>
      </c>
      <c r="AF1" s="8">
        <v>21</v>
      </c>
      <c r="AG1" s="5">
        <v>22</v>
      </c>
      <c r="AH1" s="5">
        <v>23</v>
      </c>
      <c r="AI1" s="5">
        <v>24</v>
      </c>
      <c r="AJ1" s="5">
        <v>25</v>
      </c>
      <c r="AK1" s="5">
        <v>26</v>
      </c>
    </row>
    <row r="2" spans="1:37" ht="23" customHeight="1" x14ac:dyDescent="0.3">
      <c r="A2" s="2" t="s">
        <v>107</v>
      </c>
      <c r="B2" s="2" t="s">
        <v>3</v>
      </c>
      <c r="C2" s="2">
        <v>16</v>
      </c>
      <c r="D2" s="2" t="s">
        <v>3</v>
      </c>
      <c r="E2" s="2" t="s">
        <v>3</v>
      </c>
      <c r="F2" s="3" t="s">
        <v>109</v>
      </c>
      <c r="G2" s="2" t="s">
        <v>17</v>
      </c>
      <c r="H2" s="2" t="str" cm="1">
        <f t="array" ref="H2">_xlfn.LET(
  _xlpm.parts, _xlfn.TEXTSPLIT(G2, " "),
  _xlpm.count, COUNTA(_xlpm.parts),
  _xlpm.sum, SUM(--HEX2DEC(INDEX(_xlpm.parts, _xlfn.SEQUENCE(_xlpm.count - 1)))),
  "Dec: " &amp; _xlpm.sum &amp; " | Hex: " &amp; DEC2HEX(_xlpm.sum)
)</f>
        <v>Dec: 1262 | Hex: 4EE</v>
      </c>
      <c r="I2" s="2" t="str">
        <f>DEC2HEX(MOD(VALUE(MID(H2, 6, FIND("|", H2)-7)) - 12, 256), 2)</f>
        <v>E2</v>
      </c>
      <c r="J2" s="2" t="b">
        <f>I2=AK2</f>
        <v>1</v>
      </c>
      <c r="K2" s="5" t="str" cm="1">
        <f t="array" ref="K2:AK2">_xlfn.TEXTSPLIT(G2, " ")</f>
        <v>02</v>
      </c>
      <c r="L2" s="5" t="str">
        <v>20</v>
      </c>
      <c r="M2" s="5" t="str">
        <v>e0</v>
      </c>
      <c r="N2" s="5" t="str">
        <v>04</v>
      </c>
      <c r="O2" s="5" t="str">
        <v>00</v>
      </c>
      <c r="P2" s="5" t="str">
        <v>00</v>
      </c>
      <c r="Q2" s="5" t="str">
        <v>00</v>
      </c>
      <c r="R2" s="5" t="str">
        <v>06</v>
      </c>
      <c r="S2" s="5" t="str">
        <v>02</v>
      </c>
      <c r="T2" s="5" t="str">
        <v>20</v>
      </c>
      <c r="U2" s="5" t="str">
        <v>e0</v>
      </c>
      <c r="V2" s="5" t="str">
        <v>04</v>
      </c>
      <c r="W2" s="5" t="str">
        <v>00</v>
      </c>
      <c r="X2" s="8" t="str">
        <v>09</v>
      </c>
      <c r="Y2" s="5" t="str">
        <v>20</v>
      </c>
      <c r="Z2" s="5" t="str">
        <v>80</v>
      </c>
      <c r="AA2" s="5" t="str">
        <v>af</v>
      </c>
      <c r="AB2" s="5" t="str">
        <v>0d</v>
      </c>
      <c r="AC2" s="5" t="str">
        <v>00</v>
      </c>
      <c r="AD2" s="5" t="str">
        <v>0e</v>
      </c>
      <c r="AE2" s="5" t="str">
        <v>e0</v>
      </c>
      <c r="AF2" s="5" t="str">
        <v>00</v>
      </c>
      <c r="AG2" s="5" t="str">
        <v>00</v>
      </c>
      <c r="AH2" s="5" t="str">
        <v>89</v>
      </c>
      <c r="AI2" s="5" t="str">
        <v>00</v>
      </c>
      <c r="AJ2" s="5" t="str">
        <v>00</v>
      </c>
      <c r="AK2" s="5" t="str">
        <v>e2</v>
      </c>
    </row>
    <row r="3" spans="1:37" ht="23" customHeight="1" x14ac:dyDescent="0.3">
      <c r="A3" s="2" t="s">
        <v>108</v>
      </c>
      <c r="B3" s="2" t="s">
        <v>3</v>
      </c>
      <c r="C3" s="2">
        <v>16</v>
      </c>
      <c r="D3" s="2" t="s">
        <v>3</v>
      </c>
      <c r="E3" s="2" t="s">
        <v>3</v>
      </c>
      <c r="F3" s="3" t="s">
        <v>111</v>
      </c>
      <c r="G3" s="2" t="s">
        <v>11</v>
      </c>
      <c r="H3" s="2" t="str" cm="1">
        <f t="array" ref="H3">_xlfn.LET(
  _xlpm.parts, _xlfn.TEXTSPLIT(G3, " "),
  _xlpm.count, COUNTA(_xlpm.parts),
  _xlpm.sum, SUM(--HEX2DEC(INDEX(_xlpm.parts, _xlfn.SEQUENCE(_xlpm.count - 1)))),
  "Dec: " &amp; _xlpm.sum &amp; " | Hex: " &amp; DEC2HEX(_xlpm.sum)
)</f>
        <v>Dec: 1261 | Hex: 4ED</v>
      </c>
      <c r="I3" s="2" t="str">
        <f t="shared" ref="I3:I57" si="0">DEC2HEX(MOD(VALUE(MID(H3, 6, FIND("|", H3)-7)) - 12, 256), 2)</f>
        <v>E1</v>
      </c>
      <c r="J3" s="2" t="b">
        <f>I3=AK3</f>
        <v>1</v>
      </c>
      <c r="K3" s="5" t="str" cm="1">
        <f t="array" ref="K3:AK3">_xlfn.TEXTSPLIT(G3, " ")</f>
        <v>02</v>
      </c>
      <c r="L3" s="5" t="str">
        <v>20</v>
      </c>
      <c r="M3" s="5" t="str">
        <v>e0</v>
      </c>
      <c r="N3" s="5" t="str">
        <v>04</v>
      </c>
      <c r="O3" s="5" t="str">
        <v>00</v>
      </c>
      <c r="P3" s="5" t="str">
        <v>00</v>
      </c>
      <c r="Q3" s="5" t="str">
        <v>00</v>
      </c>
      <c r="R3" s="5" t="str">
        <v>06</v>
      </c>
      <c r="S3" s="5" t="str">
        <v>02</v>
      </c>
      <c r="T3" s="5" t="str">
        <v>20</v>
      </c>
      <c r="U3" s="5" t="str">
        <v>e0</v>
      </c>
      <c r="V3" s="5" t="str">
        <v>04</v>
      </c>
      <c r="W3" s="5" t="str">
        <v>00</v>
      </c>
      <c r="X3" s="8" t="str">
        <v>08</v>
      </c>
      <c r="Y3" s="5" t="str">
        <v>20</v>
      </c>
      <c r="Z3" s="5" t="str">
        <v>80</v>
      </c>
      <c r="AA3" s="5" t="str">
        <v>af</v>
      </c>
      <c r="AB3" s="5" t="str">
        <v>0d</v>
      </c>
      <c r="AC3" s="5" t="str">
        <v>00</v>
      </c>
      <c r="AD3" s="5" t="str">
        <v>0e</v>
      </c>
      <c r="AE3" s="5" t="str">
        <v>e0</v>
      </c>
      <c r="AF3" s="5" t="str">
        <v>00</v>
      </c>
      <c r="AG3" s="5" t="str">
        <v>00</v>
      </c>
      <c r="AH3" s="5" t="str">
        <v>89</v>
      </c>
      <c r="AI3" s="5" t="str">
        <v>00</v>
      </c>
      <c r="AJ3" s="5" t="str">
        <v>00</v>
      </c>
      <c r="AK3" s="5" t="str">
        <v>e1</v>
      </c>
    </row>
    <row r="5" spans="1:37" ht="23" customHeight="1" x14ac:dyDescent="0.3">
      <c r="A5" s="2" t="s">
        <v>2</v>
      </c>
      <c r="B5" s="2" t="s">
        <v>3</v>
      </c>
      <c r="C5" s="2">
        <v>16</v>
      </c>
      <c r="D5" s="2" t="s">
        <v>3</v>
      </c>
      <c r="E5" s="2" t="s">
        <v>3</v>
      </c>
      <c r="F5" s="3" t="s">
        <v>110</v>
      </c>
      <c r="G5" s="4" t="s">
        <v>17</v>
      </c>
      <c r="H5" s="2" t="str" cm="1">
        <f t="array" ref="H5">_xlfn.LET(
  _xlpm.parts, _xlfn.TEXTSPLIT(G5, " "),
  _xlpm.count, COUNTA(_xlpm.parts),
  _xlpm.sum, SUM(--HEX2DEC(INDEX(_xlpm.parts, _xlfn.SEQUENCE(_xlpm.count - 1)))),
  "Dec: " &amp; _xlpm.sum &amp; " | Hex: " &amp; DEC2HEX(_xlpm.sum)
)</f>
        <v>Dec: 1262 | Hex: 4EE</v>
      </c>
      <c r="I5" s="2" t="str">
        <f t="shared" si="0"/>
        <v>E2</v>
      </c>
      <c r="J5" s="2" t="b">
        <f>I5=AK5</f>
        <v>1</v>
      </c>
      <c r="K5" s="5" t="str" cm="1">
        <f t="array" ref="K5:AK5">_xlfn.TEXTSPLIT(G5, " ")</f>
        <v>02</v>
      </c>
      <c r="L5" s="5" t="str">
        <v>20</v>
      </c>
      <c r="M5" s="5" t="str">
        <v>e0</v>
      </c>
      <c r="N5" s="5" t="str">
        <v>04</v>
      </c>
      <c r="O5" s="5" t="str">
        <v>00</v>
      </c>
      <c r="P5" s="5" t="str">
        <v>00</v>
      </c>
      <c r="Q5" s="5" t="str">
        <v>00</v>
      </c>
      <c r="R5" s="5" t="str">
        <v>06</v>
      </c>
      <c r="S5" s="5" t="str">
        <v>02</v>
      </c>
      <c r="T5" s="5" t="str">
        <v>20</v>
      </c>
      <c r="U5" s="5" t="str">
        <v>e0</v>
      </c>
      <c r="V5" s="5" t="str">
        <v>04</v>
      </c>
      <c r="W5" s="5" t="str">
        <v>00</v>
      </c>
      <c r="X5" s="5" t="str">
        <v>09</v>
      </c>
      <c r="Y5" s="8" t="str">
        <v>20</v>
      </c>
      <c r="Z5" s="5" t="str">
        <v>80</v>
      </c>
      <c r="AA5" s="5" t="str">
        <v>af</v>
      </c>
      <c r="AB5" s="5" t="str">
        <v>0d</v>
      </c>
      <c r="AC5" s="5" t="str">
        <v>00</v>
      </c>
      <c r="AD5" s="5" t="str">
        <v>0e</v>
      </c>
      <c r="AE5" s="5" t="str">
        <v>e0</v>
      </c>
      <c r="AF5" s="5" t="str">
        <v>00</v>
      </c>
      <c r="AG5" s="5" t="str">
        <v>00</v>
      </c>
      <c r="AH5" s="5" t="str">
        <v>89</v>
      </c>
      <c r="AI5" s="5" t="str">
        <v>00</v>
      </c>
      <c r="AJ5" s="5" t="str">
        <v>00</v>
      </c>
      <c r="AK5" s="5" t="str">
        <v>e2</v>
      </c>
    </row>
    <row r="6" spans="1:37" ht="23" customHeight="1" x14ac:dyDescent="0.3">
      <c r="A6" s="2" t="s">
        <v>2</v>
      </c>
      <c r="B6" s="2" t="s">
        <v>3</v>
      </c>
      <c r="C6" s="2">
        <v>16.5</v>
      </c>
      <c r="D6" s="2" t="s">
        <v>3</v>
      </c>
      <c r="E6" s="2" t="s">
        <v>3</v>
      </c>
      <c r="F6" s="3" t="s">
        <v>18</v>
      </c>
      <c r="G6" s="4" t="s">
        <v>12</v>
      </c>
      <c r="H6" s="2" t="str" cm="1">
        <f t="array" ref="H6">_xlfn.LET(
  _xlpm.parts, _xlfn.TEXTSPLIT(G6, " "),
  _xlpm.count, COUNTA(_xlpm.parts),
  _xlpm.sum, SUM(--HEX2DEC(INDEX(_xlpm.parts, _xlfn.SEQUENCE(_xlpm.count - 1)))),
  "Dec: " &amp; _xlpm.sum &amp; " | Hex: " &amp; DEC2HEX(_xlpm.sum)
)</f>
        <v>Dec: 1263 | Hex: 4EF</v>
      </c>
      <c r="I6" s="2" t="str">
        <f t="shared" si="0"/>
        <v>E3</v>
      </c>
      <c r="J6" s="2" t="b">
        <f t="shared" ref="J6:J33" si="1">I6=AK6</f>
        <v>1</v>
      </c>
      <c r="K6" s="5" t="str" cm="1">
        <f t="array" ref="K6:AK6">_xlfn.TEXTSPLIT(G6, " ")</f>
        <v>02</v>
      </c>
      <c r="L6" s="5" t="str">
        <v>20</v>
      </c>
      <c r="M6" s="5" t="str">
        <v>e0</v>
      </c>
      <c r="N6" s="5" t="str">
        <v>04</v>
      </c>
      <c r="O6" s="5" t="str">
        <v>00</v>
      </c>
      <c r="P6" s="5" t="str">
        <v>00</v>
      </c>
      <c r="Q6" s="5" t="str">
        <v>00</v>
      </c>
      <c r="R6" s="5" t="str">
        <v>06</v>
      </c>
      <c r="S6" s="5" t="str">
        <v>02</v>
      </c>
      <c r="T6" s="5" t="str">
        <v>20</v>
      </c>
      <c r="U6" s="5" t="str">
        <v>e0</v>
      </c>
      <c r="V6" s="5" t="str">
        <v>04</v>
      </c>
      <c r="W6" s="5" t="str">
        <v>00</v>
      </c>
      <c r="X6" s="5" t="str">
        <v>09</v>
      </c>
      <c r="Y6" s="8" t="str">
        <v>21</v>
      </c>
      <c r="Z6" s="5" t="str">
        <v>80</v>
      </c>
      <c r="AA6" s="5" t="str">
        <v>af</v>
      </c>
      <c r="AB6" s="5" t="str">
        <v>0d</v>
      </c>
      <c r="AC6" s="5" t="str">
        <v>00</v>
      </c>
      <c r="AD6" s="5" t="str">
        <v>0e</v>
      </c>
      <c r="AE6" s="5" t="str">
        <v>e0</v>
      </c>
      <c r="AF6" s="5" t="str">
        <v>00</v>
      </c>
      <c r="AG6" s="5" t="str">
        <v>00</v>
      </c>
      <c r="AH6" s="5" t="str">
        <v>89</v>
      </c>
      <c r="AI6" s="5" t="str">
        <v>00</v>
      </c>
      <c r="AJ6" s="5" t="str">
        <v>00</v>
      </c>
      <c r="AK6" s="5" t="str">
        <v>e3</v>
      </c>
    </row>
    <row r="7" spans="1:37" ht="23" customHeight="1" x14ac:dyDescent="0.3">
      <c r="A7" s="2" t="s">
        <v>2</v>
      </c>
      <c r="B7" s="2" t="s">
        <v>3</v>
      </c>
      <c r="C7" s="2">
        <v>17</v>
      </c>
      <c r="D7" s="2" t="s">
        <v>3</v>
      </c>
      <c r="E7" s="2" t="s">
        <v>3</v>
      </c>
      <c r="F7" s="3" t="s">
        <v>19</v>
      </c>
      <c r="G7" s="4" t="s">
        <v>13</v>
      </c>
      <c r="H7" s="2" t="str" cm="1">
        <f t="array" ref="H7">_xlfn.LET(
  _xlpm.parts, _xlfn.TEXTSPLIT(G7, " "),
  _xlpm.count, COUNTA(_xlpm.parts),
  _xlpm.sum, SUM(--HEX2DEC(INDEX(_xlpm.parts, _xlfn.SEQUENCE(_xlpm.count - 1)))),
  "Dec: " &amp; _xlpm.sum &amp; " | Hex: " &amp; DEC2HEX(_xlpm.sum)
)</f>
        <v>Dec: 1264 | Hex: 4F0</v>
      </c>
      <c r="I7" s="2" t="str">
        <f t="shared" si="0"/>
        <v>E4</v>
      </c>
      <c r="J7" s="2" t="b">
        <f t="shared" si="1"/>
        <v>1</v>
      </c>
      <c r="K7" s="5" t="str" cm="1">
        <f t="array" ref="K7:AK7">_xlfn.TEXTSPLIT(G7, " ")</f>
        <v>02</v>
      </c>
      <c r="L7" s="5" t="str">
        <v>20</v>
      </c>
      <c r="M7" s="5" t="str">
        <v>e0</v>
      </c>
      <c r="N7" s="5" t="str">
        <v>04</v>
      </c>
      <c r="O7" s="5" t="str">
        <v>00</v>
      </c>
      <c r="P7" s="5" t="str">
        <v>00</v>
      </c>
      <c r="Q7" s="5" t="str">
        <v>00</v>
      </c>
      <c r="R7" s="5" t="str">
        <v>06</v>
      </c>
      <c r="S7" s="5" t="str">
        <v>02</v>
      </c>
      <c r="T7" s="5" t="str">
        <v>20</v>
      </c>
      <c r="U7" s="5" t="str">
        <v>e0</v>
      </c>
      <c r="V7" s="5" t="str">
        <v>04</v>
      </c>
      <c r="W7" s="5" t="str">
        <v>00</v>
      </c>
      <c r="X7" s="5" t="str">
        <v>09</v>
      </c>
      <c r="Y7" s="8" t="str">
        <v>22</v>
      </c>
      <c r="Z7" s="5" t="str">
        <v>80</v>
      </c>
      <c r="AA7" s="5" t="str">
        <v>af</v>
      </c>
      <c r="AB7" s="5" t="str">
        <v>0d</v>
      </c>
      <c r="AC7" s="5" t="str">
        <v>00</v>
      </c>
      <c r="AD7" s="5" t="str">
        <v>0e</v>
      </c>
      <c r="AE7" s="5" t="str">
        <v>e0</v>
      </c>
      <c r="AF7" s="5" t="str">
        <v>00</v>
      </c>
      <c r="AG7" s="5" t="str">
        <v>00</v>
      </c>
      <c r="AH7" s="5" t="str">
        <v>89</v>
      </c>
      <c r="AI7" s="5" t="str">
        <v>00</v>
      </c>
      <c r="AJ7" s="5" t="str">
        <v>00</v>
      </c>
      <c r="AK7" s="5" t="str">
        <v>e4</v>
      </c>
    </row>
    <row r="8" spans="1:37" ht="23" customHeight="1" x14ac:dyDescent="0.3">
      <c r="A8" s="2" t="s">
        <v>2</v>
      </c>
      <c r="B8" s="2" t="s">
        <v>3</v>
      </c>
      <c r="C8" s="2">
        <v>17.5</v>
      </c>
      <c r="D8" s="2" t="s">
        <v>3</v>
      </c>
      <c r="E8" s="2" t="s">
        <v>3</v>
      </c>
      <c r="F8" s="3" t="s">
        <v>20</v>
      </c>
      <c r="G8" s="4" t="s">
        <v>14</v>
      </c>
      <c r="H8" s="2" t="str" cm="1">
        <f t="array" ref="H8">_xlfn.LET(
  _xlpm.parts, _xlfn.TEXTSPLIT(G8, " "),
  _xlpm.count, COUNTA(_xlpm.parts),
  _xlpm.sum, SUM(--HEX2DEC(INDEX(_xlpm.parts, _xlfn.SEQUENCE(_xlpm.count - 1)))),
  "Dec: " &amp; _xlpm.sum &amp; " | Hex: " &amp; DEC2HEX(_xlpm.sum)
)</f>
        <v>Dec: 1265 | Hex: 4F1</v>
      </c>
      <c r="I8" s="2" t="str">
        <f t="shared" si="0"/>
        <v>E5</v>
      </c>
      <c r="J8" s="2" t="b">
        <f t="shared" si="1"/>
        <v>1</v>
      </c>
      <c r="K8" s="5" t="str" cm="1">
        <f t="array" ref="K8:AK8">_xlfn.TEXTSPLIT(G8, " ")</f>
        <v>02</v>
      </c>
      <c r="L8" s="5" t="str">
        <v>20</v>
      </c>
      <c r="M8" s="5" t="str">
        <v>e0</v>
      </c>
      <c r="N8" s="5" t="str">
        <v>04</v>
      </c>
      <c r="O8" s="5" t="str">
        <v>00</v>
      </c>
      <c r="P8" s="5" t="str">
        <v>00</v>
      </c>
      <c r="Q8" s="5" t="str">
        <v>00</v>
      </c>
      <c r="R8" s="5" t="str">
        <v>06</v>
      </c>
      <c r="S8" s="5" t="str">
        <v>02</v>
      </c>
      <c r="T8" s="5" t="str">
        <v>20</v>
      </c>
      <c r="U8" s="5" t="str">
        <v>e0</v>
      </c>
      <c r="V8" s="5" t="str">
        <v>04</v>
      </c>
      <c r="W8" s="5" t="str">
        <v>00</v>
      </c>
      <c r="X8" s="5" t="str">
        <v>09</v>
      </c>
      <c r="Y8" s="8" t="str">
        <v>23</v>
      </c>
      <c r="Z8" s="5" t="str">
        <v>80</v>
      </c>
      <c r="AA8" s="5" t="str">
        <v>af</v>
      </c>
      <c r="AB8" s="5" t="str">
        <v>0d</v>
      </c>
      <c r="AC8" s="5" t="str">
        <v>00</v>
      </c>
      <c r="AD8" s="5" t="str">
        <v>0e</v>
      </c>
      <c r="AE8" s="5" t="str">
        <v>e0</v>
      </c>
      <c r="AF8" s="5" t="str">
        <v>00</v>
      </c>
      <c r="AG8" s="5" t="str">
        <v>00</v>
      </c>
      <c r="AH8" s="5" t="str">
        <v>89</v>
      </c>
      <c r="AI8" s="5" t="str">
        <v>00</v>
      </c>
      <c r="AJ8" s="5" t="str">
        <v>00</v>
      </c>
      <c r="AK8" s="5" t="str">
        <v>e5</v>
      </c>
    </row>
    <row r="9" spans="1:37" ht="23" customHeight="1" x14ac:dyDescent="0.3">
      <c r="A9" s="2" t="s">
        <v>2</v>
      </c>
      <c r="B9" s="2" t="s">
        <v>3</v>
      </c>
      <c r="C9" s="2">
        <v>18</v>
      </c>
      <c r="D9" s="2" t="s">
        <v>3</v>
      </c>
      <c r="E9" s="2" t="s">
        <v>3</v>
      </c>
      <c r="F9" s="3" t="s">
        <v>21</v>
      </c>
      <c r="G9" s="4" t="s">
        <v>15</v>
      </c>
      <c r="H9" s="2" t="str" cm="1">
        <f t="array" ref="H9">_xlfn.LET(
  _xlpm.parts, _xlfn.TEXTSPLIT(G9, " "),
  _xlpm.count, COUNTA(_xlpm.parts),
  _xlpm.sum, SUM(--HEX2DEC(INDEX(_xlpm.parts, _xlfn.SEQUENCE(_xlpm.count - 1)))),
  "Dec: " &amp; _xlpm.sum &amp; " | Hex: " &amp; DEC2HEX(_xlpm.sum)
)</f>
        <v>Dec: 1266 | Hex: 4F2</v>
      </c>
      <c r="I9" s="2" t="str">
        <f t="shared" si="0"/>
        <v>E6</v>
      </c>
      <c r="J9" s="2" t="b">
        <f t="shared" si="1"/>
        <v>1</v>
      </c>
      <c r="K9" s="5" t="str" cm="1">
        <f t="array" ref="K9:AK9">_xlfn.TEXTSPLIT(G9, " ")</f>
        <v>02</v>
      </c>
      <c r="L9" s="5" t="str">
        <v>20</v>
      </c>
      <c r="M9" s="5" t="str">
        <v>e0</v>
      </c>
      <c r="N9" s="5" t="str">
        <v>04</v>
      </c>
      <c r="O9" s="5" t="str">
        <v>00</v>
      </c>
      <c r="P9" s="5" t="str">
        <v>00</v>
      </c>
      <c r="Q9" s="5" t="str">
        <v>00</v>
      </c>
      <c r="R9" s="5" t="str">
        <v>06</v>
      </c>
      <c r="S9" s="5" t="str">
        <v>02</v>
      </c>
      <c r="T9" s="5" t="str">
        <v>20</v>
      </c>
      <c r="U9" s="5" t="str">
        <v>e0</v>
      </c>
      <c r="V9" s="5" t="str">
        <v>04</v>
      </c>
      <c r="W9" s="5" t="str">
        <v>00</v>
      </c>
      <c r="X9" s="5" t="str">
        <v>09</v>
      </c>
      <c r="Y9" s="8" t="str">
        <v>24</v>
      </c>
      <c r="Z9" s="5" t="str">
        <v>80</v>
      </c>
      <c r="AA9" s="5" t="str">
        <v>af</v>
      </c>
      <c r="AB9" s="5" t="str">
        <v>0d</v>
      </c>
      <c r="AC9" s="5" t="str">
        <v>00</v>
      </c>
      <c r="AD9" s="5" t="str">
        <v>0e</v>
      </c>
      <c r="AE9" s="5" t="str">
        <v>e0</v>
      </c>
      <c r="AF9" s="5" t="str">
        <v>00</v>
      </c>
      <c r="AG9" s="5" t="str">
        <v>00</v>
      </c>
      <c r="AH9" s="5" t="str">
        <v>89</v>
      </c>
      <c r="AI9" s="5" t="str">
        <v>00</v>
      </c>
      <c r="AJ9" s="5" t="str">
        <v>00</v>
      </c>
      <c r="AK9" s="5" t="str">
        <v>e6</v>
      </c>
    </row>
    <row r="10" spans="1:37" ht="23" customHeight="1" x14ac:dyDescent="0.3">
      <c r="A10" s="2" t="s">
        <v>2</v>
      </c>
      <c r="B10" s="2" t="s">
        <v>3</v>
      </c>
      <c r="C10" s="2">
        <v>18.5</v>
      </c>
      <c r="D10" s="2" t="s">
        <v>3</v>
      </c>
      <c r="E10" s="2" t="s">
        <v>3</v>
      </c>
      <c r="F10" s="3" t="s">
        <v>22</v>
      </c>
      <c r="G10" s="2" t="s">
        <v>23</v>
      </c>
      <c r="H10" s="2" t="str" cm="1">
        <f t="array" ref="H10">_xlfn.LET(
  _xlpm.parts, _xlfn.TEXTSPLIT(G10, " "),
  _xlpm.count, COUNTA(_xlpm.parts),
  _xlpm.sum, SUM(--HEX2DEC(INDEX(_xlpm.parts, _xlfn.SEQUENCE(_xlpm.count - 1)))),
  "Dec: " &amp; _xlpm.sum &amp; " | Hex: " &amp; DEC2HEX(_xlpm.sum)
)</f>
        <v>Dec: 1267 | Hex: 4F3</v>
      </c>
      <c r="I10" s="2" t="str">
        <f t="shared" si="0"/>
        <v>E7</v>
      </c>
      <c r="J10" s="2" t="b">
        <f t="shared" si="1"/>
        <v>1</v>
      </c>
      <c r="K10" s="5" t="str" cm="1">
        <f t="array" ref="K10:AK10">_xlfn.TEXTSPLIT(G10, " ")</f>
        <v>02</v>
      </c>
      <c r="L10" s="5" t="str">
        <v>20</v>
      </c>
      <c r="M10" s="5" t="str">
        <v>e0</v>
      </c>
      <c r="N10" s="5" t="str">
        <v>04</v>
      </c>
      <c r="O10" s="5" t="str">
        <v>00</v>
      </c>
      <c r="P10" s="5" t="str">
        <v>00</v>
      </c>
      <c r="Q10" s="5" t="str">
        <v>00</v>
      </c>
      <c r="R10" s="5" t="str">
        <v>06</v>
      </c>
      <c r="S10" s="5" t="str">
        <v>02</v>
      </c>
      <c r="T10" s="5" t="str">
        <v>20</v>
      </c>
      <c r="U10" s="5" t="str">
        <v>e0</v>
      </c>
      <c r="V10" s="5" t="str">
        <v>04</v>
      </c>
      <c r="W10" s="5" t="str">
        <v>00</v>
      </c>
      <c r="X10" s="5" t="str">
        <v>09</v>
      </c>
      <c r="Y10" s="8" t="str">
        <v>25</v>
      </c>
      <c r="Z10" s="5" t="str">
        <v>80</v>
      </c>
      <c r="AA10" s="5" t="str">
        <v>af</v>
      </c>
      <c r="AB10" s="5" t="str">
        <v>0d</v>
      </c>
      <c r="AC10" s="5" t="str">
        <v>00</v>
      </c>
      <c r="AD10" s="5" t="str">
        <v>0e</v>
      </c>
      <c r="AE10" s="5" t="str">
        <v>e0</v>
      </c>
      <c r="AF10" s="5" t="str">
        <v>00</v>
      </c>
      <c r="AG10" s="5" t="str">
        <v>00</v>
      </c>
      <c r="AH10" s="5" t="str">
        <v>89</v>
      </c>
      <c r="AI10" s="5" t="str">
        <v>00</v>
      </c>
      <c r="AJ10" s="5" t="str">
        <v>00</v>
      </c>
      <c r="AK10" s="5" t="str">
        <v>e7</v>
      </c>
    </row>
    <row r="11" spans="1:37" ht="23" customHeight="1" x14ac:dyDescent="0.3">
      <c r="A11" s="2" t="s">
        <v>2</v>
      </c>
      <c r="B11" s="2" t="s">
        <v>3</v>
      </c>
      <c r="C11" s="2">
        <v>19</v>
      </c>
      <c r="D11" s="2" t="s">
        <v>3</v>
      </c>
      <c r="E11" s="2" t="s">
        <v>3</v>
      </c>
      <c r="F11" s="3" t="s">
        <v>24</v>
      </c>
      <c r="G11" s="2" t="s">
        <v>25</v>
      </c>
      <c r="H11" s="2" t="str" cm="1">
        <f t="array" ref="H11">_xlfn.LET(
  _xlpm.parts, _xlfn.TEXTSPLIT(G11, " "),
  _xlpm.count, COUNTA(_xlpm.parts),
  _xlpm.sum, SUM(--HEX2DEC(INDEX(_xlpm.parts, _xlfn.SEQUENCE(_xlpm.count - 1)))),
  "Dec: " &amp; _xlpm.sum &amp; " | Hex: " &amp; DEC2HEX(_xlpm.sum)
)</f>
        <v>Dec: 1268 | Hex: 4F4</v>
      </c>
      <c r="I11" s="2" t="str">
        <f t="shared" si="0"/>
        <v>E8</v>
      </c>
      <c r="J11" s="2" t="b">
        <f t="shared" si="1"/>
        <v>1</v>
      </c>
      <c r="K11" s="5" t="str" cm="1">
        <f t="array" ref="K11:AK11">_xlfn.TEXTSPLIT(G11, " ")</f>
        <v>02</v>
      </c>
      <c r="L11" s="5" t="str">
        <v>20</v>
      </c>
      <c r="M11" s="5" t="str">
        <v>e0</v>
      </c>
      <c r="N11" s="5" t="str">
        <v>04</v>
      </c>
      <c r="O11" s="5" t="str">
        <v>00</v>
      </c>
      <c r="P11" s="5" t="str">
        <v>00</v>
      </c>
      <c r="Q11" s="5" t="str">
        <v>00</v>
      </c>
      <c r="R11" s="5" t="str">
        <v>06</v>
      </c>
      <c r="S11" s="5" t="str">
        <v>02</v>
      </c>
      <c r="T11" s="5" t="str">
        <v>20</v>
      </c>
      <c r="U11" s="5" t="str">
        <v>e0</v>
      </c>
      <c r="V11" s="5" t="str">
        <v>04</v>
      </c>
      <c r="W11" s="5" t="str">
        <v>00</v>
      </c>
      <c r="X11" s="5" t="str">
        <v>09</v>
      </c>
      <c r="Y11" s="8" t="str">
        <v>26</v>
      </c>
      <c r="Z11" s="5" t="str">
        <v>80</v>
      </c>
      <c r="AA11" s="5" t="str">
        <v>af</v>
      </c>
      <c r="AB11" s="5" t="str">
        <v>0d</v>
      </c>
      <c r="AC11" s="5" t="str">
        <v>00</v>
      </c>
      <c r="AD11" s="5" t="str">
        <v>0e</v>
      </c>
      <c r="AE11" s="5" t="str">
        <v>e0</v>
      </c>
      <c r="AF11" s="5" t="str">
        <v>00</v>
      </c>
      <c r="AG11" s="5" t="str">
        <v>00</v>
      </c>
      <c r="AH11" s="5" t="str">
        <v>89</v>
      </c>
      <c r="AI11" s="5" t="str">
        <v>00</v>
      </c>
      <c r="AJ11" s="5" t="str">
        <v>00</v>
      </c>
      <c r="AK11" s="5" t="str">
        <v>e8</v>
      </c>
    </row>
    <row r="12" spans="1:37" ht="23" customHeight="1" x14ac:dyDescent="0.3">
      <c r="A12" s="2" t="s">
        <v>2</v>
      </c>
      <c r="B12" s="2" t="s">
        <v>3</v>
      </c>
      <c r="C12" s="2">
        <v>19.5</v>
      </c>
      <c r="D12" s="2" t="s">
        <v>3</v>
      </c>
      <c r="E12" s="2" t="s">
        <v>3</v>
      </c>
      <c r="F12" s="3" t="s">
        <v>26</v>
      </c>
      <c r="G12" s="2" t="s">
        <v>27</v>
      </c>
      <c r="H12" s="2" t="str" cm="1">
        <f t="array" ref="H12">_xlfn.LET(
  _xlpm.parts, _xlfn.TEXTSPLIT(G12, " "),
  _xlpm.count, COUNTA(_xlpm.parts),
  _xlpm.sum, SUM(--HEX2DEC(INDEX(_xlpm.parts, _xlfn.SEQUENCE(_xlpm.count - 1)))),
  "Dec: " &amp; _xlpm.sum &amp; " | Hex: " &amp; DEC2HEX(_xlpm.sum)
)</f>
        <v>Dec: 1269 | Hex: 4F5</v>
      </c>
      <c r="I12" s="2" t="str">
        <f t="shared" si="0"/>
        <v>E9</v>
      </c>
      <c r="J12" s="2" t="b">
        <f t="shared" si="1"/>
        <v>1</v>
      </c>
      <c r="K12" s="5" t="str" cm="1">
        <f t="array" ref="K12:AK12">_xlfn.TEXTSPLIT(G12, " ")</f>
        <v>02</v>
      </c>
      <c r="L12" s="5" t="str">
        <v>20</v>
      </c>
      <c r="M12" s="5" t="str">
        <v>e0</v>
      </c>
      <c r="N12" s="5" t="str">
        <v>04</v>
      </c>
      <c r="O12" s="5" t="str">
        <v>00</v>
      </c>
      <c r="P12" s="5" t="str">
        <v>00</v>
      </c>
      <c r="Q12" s="5" t="str">
        <v>00</v>
      </c>
      <c r="R12" s="5" t="str">
        <v>06</v>
      </c>
      <c r="S12" s="5" t="str">
        <v>02</v>
      </c>
      <c r="T12" s="5" t="str">
        <v>20</v>
      </c>
      <c r="U12" s="5" t="str">
        <v>e0</v>
      </c>
      <c r="V12" s="5" t="str">
        <v>04</v>
      </c>
      <c r="W12" s="5" t="str">
        <v>00</v>
      </c>
      <c r="X12" s="5" t="str">
        <v>09</v>
      </c>
      <c r="Y12" s="8" t="str">
        <v>27</v>
      </c>
      <c r="Z12" s="5" t="str">
        <v>80</v>
      </c>
      <c r="AA12" s="5" t="str">
        <v>af</v>
      </c>
      <c r="AB12" s="5" t="str">
        <v>0d</v>
      </c>
      <c r="AC12" s="5" t="str">
        <v>00</v>
      </c>
      <c r="AD12" s="5" t="str">
        <v>0e</v>
      </c>
      <c r="AE12" s="5" t="str">
        <v>e0</v>
      </c>
      <c r="AF12" s="5" t="str">
        <v>00</v>
      </c>
      <c r="AG12" s="5" t="str">
        <v>00</v>
      </c>
      <c r="AH12" s="5" t="str">
        <v>89</v>
      </c>
      <c r="AI12" s="5" t="str">
        <v>00</v>
      </c>
      <c r="AJ12" s="5" t="str">
        <v>00</v>
      </c>
      <c r="AK12" s="5" t="str">
        <v>e9</v>
      </c>
    </row>
    <row r="13" spans="1:37" ht="23" customHeight="1" x14ac:dyDescent="0.3">
      <c r="A13" s="2" t="s">
        <v>2</v>
      </c>
      <c r="B13" s="2" t="s">
        <v>3</v>
      </c>
      <c r="C13" s="2">
        <v>20</v>
      </c>
      <c r="D13" s="2" t="s">
        <v>3</v>
      </c>
      <c r="E13" s="2" t="s">
        <v>3</v>
      </c>
      <c r="F13" s="3" t="s">
        <v>28</v>
      </c>
      <c r="G13" s="2" t="s">
        <v>29</v>
      </c>
      <c r="H13" s="2" t="str" cm="1">
        <f t="array" ref="H13">_xlfn.LET(
  _xlpm.parts, _xlfn.TEXTSPLIT(G13, " "),
  _xlpm.count, COUNTA(_xlpm.parts),
  _xlpm.sum, SUM(--HEX2DEC(INDEX(_xlpm.parts, _xlfn.SEQUENCE(_xlpm.count - 1)))),
  "Dec: " &amp; _xlpm.sum &amp; " | Hex: " &amp; DEC2HEX(_xlpm.sum)
)</f>
        <v>Dec: 1270 | Hex: 4F6</v>
      </c>
      <c r="I13" s="2" t="str">
        <f t="shared" si="0"/>
        <v>EA</v>
      </c>
      <c r="J13" s="2" t="b">
        <f t="shared" si="1"/>
        <v>1</v>
      </c>
      <c r="K13" s="5" t="str" cm="1">
        <f t="array" ref="K13:AK13">_xlfn.TEXTSPLIT(G13, " ")</f>
        <v>02</v>
      </c>
      <c r="L13" s="5" t="str">
        <v>20</v>
      </c>
      <c r="M13" s="5" t="str">
        <v>e0</v>
      </c>
      <c r="N13" s="5" t="str">
        <v>04</v>
      </c>
      <c r="O13" s="5" t="str">
        <v>00</v>
      </c>
      <c r="P13" s="5" t="str">
        <v>00</v>
      </c>
      <c r="Q13" s="5" t="str">
        <v>00</v>
      </c>
      <c r="R13" s="5" t="str">
        <v>06</v>
      </c>
      <c r="S13" s="5" t="str">
        <v>02</v>
      </c>
      <c r="T13" s="5" t="str">
        <v>20</v>
      </c>
      <c r="U13" s="5" t="str">
        <v>e0</v>
      </c>
      <c r="V13" s="5" t="str">
        <v>04</v>
      </c>
      <c r="W13" s="5" t="str">
        <v>00</v>
      </c>
      <c r="X13" s="5" t="str">
        <v>09</v>
      </c>
      <c r="Y13" s="8" t="str">
        <v>28</v>
      </c>
      <c r="Z13" s="5" t="str">
        <v>80</v>
      </c>
      <c r="AA13" s="5" t="str">
        <v>af</v>
      </c>
      <c r="AB13" s="5" t="str">
        <v>0d</v>
      </c>
      <c r="AC13" s="5" t="str">
        <v>00</v>
      </c>
      <c r="AD13" s="5" t="str">
        <v>0e</v>
      </c>
      <c r="AE13" s="5" t="str">
        <v>e0</v>
      </c>
      <c r="AF13" s="5" t="str">
        <v>00</v>
      </c>
      <c r="AG13" s="5" t="str">
        <v>00</v>
      </c>
      <c r="AH13" s="5" t="str">
        <v>89</v>
      </c>
      <c r="AI13" s="5" t="str">
        <v>00</v>
      </c>
      <c r="AJ13" s="5" t="str">
        <v>00</v>
      </c>
      <c r="AK13" s="5" t="str">
        <v>ea</v>
      </c>
    </row>
    <row r="14" spans="1:37" ht="23" customHeight="1" x14ac:dyDescent="0.3">
      <c r="A14" s="2" t="s">
        <v>2</v>
      </c>
      <c r="B14" s="2" t="s">
        <v>3</v>
      </c>
      <c r="C14" s="2">
        <v>20.5</v>
      </c>
      <c r="D14" s="2" t="s">
        <v>3</v>
      </c>
      <c r="E14" s="2" t="s">
        <v>3</v>
      </c>
      <c r="F14" s="3" t="s">
        <v>30</v>
      </c>
      <c r="G14" s="2" t="s">
        <v>31</v>
      </c>
      <c r="H14" s="2" t="str" cm="1">
        <f t="array" ref="H14">_xlfn.LET(
  _xlpm.parts, _xlfn.TEXTSPLIT(G14, " "),
  _xlpm.count, COUNTA(_xlpm.parts),
  _xlpm.sum, SUM(--HEX2DEC(INDEX(_xlpm.parts, _xlfn.SEQUENCE(_xlpm.count - 1)))),
  "Dec: " &amp; _xlpm.sum &amp; " | Hex: " &amp; DEC2HEX(_xlpm.sum)
)</f>
        <v>Dec: 1271 | Hex: 4F7</v>
      </c>
      <c r="I14" s="2" t="str">
        <f t="shared" si="0"/>
        <v>EB</v>
      </c>
      <c r="J14" s="2" t="b">
        <f t="shared" si="1"/>
        <v>1</v>
      </c>
      <c r="K14" s="5" t="str" cm="1">
        <f t="array" ref="K14:AK14">_xlfn.TEXTSPLIT(G14, " ")</f>
        <v>02</v>
      </c>
      <c r="L14" s="5" t="str">
        <v>20</v>
      </c>
      <c r="M14" s="5" t="str">
        <v>e0</v>
      </c>
      <c r="N14" s="5" t="str">
        <v>04</v>
      </c>
      <c r="O14" s="5" t="str">
        <v>00</v>
      </c>
      <c r="P14" s="5" t="str">
        <v>00</v>
      </c>
      <c r="Q14" s="5" t="str">
        <v>00</v>
      </c>
      <c r="R14" s="5" t="str">
        <v>06</v>
      </c>
      <c r="S14" s="5" t="str">
        <v>02</v>
      </c>
      <c r="T14" s="5" t="str">
        <v>20</v>
      </c>
      <c r="U14" s="5" t="str">
        <v>e0</v>
      </c>
      <c r="V14" s="5" t="str">
        <v>04</v>
      </c>
      <c r="W14" s="5" t="str">
        <v>00</v>
      </c>
      <c r="X14" s="5" t="str">
        <v>09</v>
      </c>
      <c r="Y14" s="8" t="str">
        <v>29</v>
      </c>
      <c r="Z14" s="5" t="str">
        <v>80</v>
      </c>
      <c r="AA14" s="5" t="str">
        <v>af</v>
      </c>
      <c r="AB14" s="5" t="str">
        <v>0d</v>
      </c>
      <c r="AC14" s="5" t="str">
        <v>00</v>
      </c>
      <c r="AD14" s="5" t="str">
        <v>0e</v>
      </c>
      <c r="AE14" s="5" t="str">
        <v>e0</v>
      </c>
      <c r="AF14" s="5" t="str">
        <v>00</v>
      </c>
      <c r="AG14" s="5" t="str">
        <v>00</v>
      </c>
      <c r="AH14" s="5" t="str">
        <v>89</v>
      </c>
      <c r="AI14" s="5" t="str">
        <v>00</v>
      </c>
      <c r="AJ14" s="5" t="str">
        <v>00</v>
      </c>
      <c r="AK14" s="5" t="str">
        <v>eb</v>
      </c>
    </row>
    <row r="15" spans="1:37" ht="23" customHeight="1" x14ac:dyDescent="0.3">
      <c r="A15" s="2" t="s">
        <v>2</v>
      </c>
      <c r="B15" s="2" t="s">
        <v>3</v>
      </c>
      <c r="C15" s="2">
        <v>21</v>
      </c>
      <c r="D15" s="2" t="s">
        <v>3</v>
      </c>
      <c r="E15" s="2" t="s">
        <v>3</v>
      </c>
      <c r="F15" s="3" t="s">
        <v>41</v>
      </c>
      <c r="G15" s="2" t="s">
        <v>40</v>
      </c>
      <c r="H15" s="2" t="str" cm="1">
        <f t="array" ref="H15">_xlfn.LET(
  _xlpm.parts, _xlfn.TEXTSPLIT(G15, " "),
  _xlpm.count, COUNTA(_xlpm.parts),
  _xlpm.sum, SUM(--HEX2DEC(INDEX(_xlpm.parts, _xlfn.SEQUENCE(_xlpm.count - 1)))),
  "Dec: " &amp; _xlpm.sum &amp; " | Hex: " &amp; DEC2HEX(_xlpm.sum)
)</f>
        <v>Dec: 1272 | Hex: 4F8</v>
      </c>
      <c r="I15" s="2" t="str">
        <f t="shared" si="0"/>
        <v>EC</v>
      </c>
      <c r="J15" s="2" t="b">
        <f t="shared" si="1"/>
        <v>1</v>
      </c>
      <c r="K15" s="5" t="str" cm="1">
        <f t="array" ref="K15:AK15">_xlfn.TEXTSPLIT(G15, " ")</f>
        <v>02</v>
      </c>
      <c r="L15" s="5" t="str">
        <v>20</v>
      </c>
      <c r="M15" s="5" t="str">
        <v>e0</v>
      </c>
      <c r="N15" s="5" t="str">
        <v>04</v>
      </c>
      <c r="O15" s="5" t="str">
        <v>00</v>
      </c>
      <c r="P15" s="5" t="str">
        <v>00</v>
      </c>
      <c r="Q15" s="5" t="str">
        <v>00</v>
      </c>
      <c r="R15" s="5" t="str">
        <v>06</v>
      </c>
      <c r="S15" s="5" t="str">
        <v>02</v>
      </c>
      <c r="T15" s="5" t="str">
        <v>20</v>
      </c>
      <c r="U15" s="5" t="str">
        <v>e0</v>
      </c>
      <c r="V15" s="5" t="str">
        <v>04</v>
      </c>
      <c r="W15" s="5" t="str">
        <v>00</v>
      </c>
      <c r="X15" s="5" t="str">
        <v>09</v>
      </c>
      <c r="Y15" s="8" t="str">
        <v>2a</v>
      </c>
      <c r="Z15" s="5" t="str">
        <v>80</v>
      </c>
      <c r="AA15" s="5" t="str">
        <v>af</v>
      </c>
      <c r="AB15" s="5" t="str">
        <v>0d</v>
      </c>
      <c r="AC15" s="5" t="str">
        <v>00</v>
      </c>
      <c r="AD15" s="5" t="str">
        <v>0e</v>
      </c>
      <c r="AE15" s="5" t="str">
        <v>e0</v>
      </c>
      <c r="AF15" s="5" t="str">
        <v>00</v>
      </c>
      <c r="AG15" s="5" t="str">
        <v>00</v>
      </c>
      <c r="AH15" s="5" t="str">
        <v>89</v>
      </c>
      <c r="AI15" s="5" t="str">
        <v>00</v>
      </c>
      <c r="AJ15" s="5" t="str">
        <v>00</v>
      </c>
      <c r="AK15" s="5" t="str">
        <v>ec</v>
      </c>
    </row>
    <row r="16" spans="1:37" ht="23" customHeight="1" x14ac:dyDescent="0.3">
      <c r="A16" s="2" t="s">
        <v>2</v>
      </c>
      <c r="B16" s="2" t="s">
        <v>3</v>
      </c>
      <c r="C16" s="2">
        <v>21.5</v>
      </c>
      <c r="D16" s="2" t="s">
        <v>3</v>
      </c>
      <c r="E16" s="2" t="s">
        <v>3</v>
      </c>
      <c r="F16" s="3" t="s">
        <v>34</v>
      </c>
      <c r="G16" s="4" t="s">
        <v>33</v>
      </c>
      <c r="H16" s="2" t="str" cm="1">
        <f t="array" ref="H16">_xlfn.LET(
  _xlpm.parts, _xlfn.TEXTSPLIT(G16, " "),
  _xlpm.count, COUNTA(_xlpm.parts),
  _xlpm.sum, SUM(--HEX2DEC(INDEX(_xlpm.parts, _xlfn.SEQUENCE(_xlpm.count - 1)))),
  "Dec: " &amp; _xlpm.sum &amp; " | Hex: " &amp; DEC2HEX(_xlpm.sum)
)</f>
        <v>Dec: 1273 | Hex: 4F9</v>
      </c>
      <c r="I16" s="2" t="str">
        <f t="shared" si="0"/>
        <v>ED</v>
      </c>
      <c r="J16" s="2" t="b">
        <f t="shared" si="1"/>
        <v>1</v>
      </c>
      <c r="K16" s="5" t="str" cm="1">
        <f t="array" ref="K16:AK16">_xlfn.TEXTSPLIT(G16, " ")</f>
        <v>02</v>
      </c>
      <c r="L16" s="5" t="str">
        <v>20</v>
      </c>
      <c r="M16" s="5" t="str">
        <v>e0</v>
      </c>
      <c r="N16" s="5" t="str">
        <v>04</v>
      </c>
      <c r="O16" s="5" t="str">
        <v>00</v>
      </c>
      <c r="P16" s="5" t="str">
        <v>00</v>
      </c>
      <c r="Q16" s="5" t="str">
        <v>00</v>
      </c>
      <c r="R16" s="5" t="str">
        <v>06</v>
      </c>
      <c r="S16" s="5" t="str">
        <v>02</v>
      </c>
      <c r="T16" s="5" t="str">
        <v>20</v>
      </c>
      <c r="U16" s="5" t="str">
        <v>e0</v>
      </c>
      <c r="V16" s="5" t="str">
        <v>04</v>
      </c>
      <c r="W16" s="5" t="str">
        <v>00</v>
      </c>
      <c r="X16" s="5" t="str">
        <v>09</v>
      </c>
      <c r="Y16" s="8" t="str">
        <v>2b</v>
      </c>
      <c r="Z16" s="5" t="str">
        <v>80</v>
      </c>
      <c r="AA16" s="5" t="str">
        <v>af</v>
      </c>
      <c r="AB16" s="5" t="str">
        <v>0d</v>
      </c>
      <c r="AC16" s="5" t="str">
        <v>00</v>
      </c>
      <c r="AD16" s="5" t="str">
        <v>0e</v>
      </c>
      <c r="AE16" s="5" t="str">
        <v>e0</v>
      </c>
      <c r="AF16" s="5" t="str">
        <v>00</v>
      </c>
      <c r="AG16" s="5" t="str">
        <v>00</v>
      </c>
      <c r="AH16" s="5" t="str">
        <v>89</v>
      </c>
      <c r="AI16" s="5" t="str">
        <v>00</v>
      </c>
      <c r="AJ16" s="5" t="str">
        <v>00</v>
      </c>
      <c r="AK16" s="5" t="str">
        <v>ed</v>
      </c>
    </row>
    <row r="17" spans="1:37" ht="23" customHeight="1" x14ac:dyDescent="0.3">
      <c r="A17" s="2" t="s">
        <v>2</v>
      </c>
      <c r="B17" s="2" t="s">
        <v>3</v>
      </c>
      <c r="C17" s="2">
        <v>22</v>
      </c>
      <c r="D17" s="2" t="s">
        <v>3</v>
      </c>
      <c r="E17" s="2" t="s">
        <v>3</v>
      </c>
      <c r="F17" s="3" t="s">
        <v>36</v>
      </c>
      <c r="G17" s="2" t="s">
        <v>35</v>
      </c>
      <c r="H17" s="2" t="str" cm="1">
        <f t="array" ref="H17">_xlfn.LET(
  _xlpm.parts, _xlfn.TEXTSPLIT(G17, " "),
  _xlpm.count, COUNTA(_xlpm.parts),
  _xlpm.sum, SUM(--HEX2DEC(INDEX(_xlpm.parts, _xlfn.SEQUENCE(_xlpm.count - 1)))),
  "Dec: " &amp; _xlpm.sum &amp; " | Hex: " &amp; DEC2HEX(_xlpm.sum)
)</f>
        <v>Dec: 1274 | Hex: 4FA</v>
      </c>
      <c r="I17" s="2" t="str">
        <f t="shared" si="0"/>
        <v>EE</v>
      </c>
      <c r="J17" s="2" t="b">
        <f t="shared" si="1"/>
        <v>1</v>
      </c>
      <c r="K17" s="5" t="str" cm="1">
        <f t="array" ref="K17:AK17">_xlfn.TEXTSPLIT(G17, " ")</f>
        <v>02</v>
      </c>
      <c r="L17" s="5" t="str">
        <v>20</v>
      </c>
      <c r="M17" s="5" t="str">
        <v>e0</v>
      </c>
      <c r="N17" s="5" t="str">
        <v>04</v>
      </c>
      <c r="O17" s="5" t="str">
        <v>00</v>
      </c>
      <c r="P17" s="5" t="str">
        <v>00</v>
      </c>
      <c r="Q17" s="5" t="str">
        <v>00</v>
      </c>
      <c r="R17" s="5" t="str">
        <v>06</v>
      </c>
      <c r="S17" s="5" t="str">
        <v>02</v>
      </c>
      <c r="T17" s="5" t="str">
        <v>20</v>
      </c>
      <c r="U17" s="5" t="str">
        <v>e0</v>
      </c>
      <c r="V17" s="5" t="str">
        <v>04</v>
      </c>
      <c r="W17" s="5" t="str">
        <v>00</v>
      </c>
      <c r="X17" s="5" t="str">
        <v>09</v>
      </c>
      <c r="Y17" s="8" t="str">
        <v>2c</v>
      </c>
      <c r="Z17" s="5" t="str">
        <v>80</v>
      </c>
      <c r="AA17" s="5" t="str">
        <v>af</v>
      </c>
      <c r="AB17" s="5" t="str">
        <v>0d</v>
      </c>
      <c r="AC17" s="5" t="str">
        <v>00</v>
      </c>
      <c r="AD17" s="5" t="str">
        <v>0e</v>
      </c>
      <c r="AE17" s="5" t="str">
        <v>e0</v>
      </c>
      <c r="AF17" s="5" t="str">
        <v>00</v>
      </c>
      <c r="AG17" s="5" t="str">
        <v>00</v>
      </c>
      <c r="AH17" s="5" t="str">
        <v>89</v>
      </c>
      <c r="AI17" s="5" t="str">
        <v>00</v>
      </c>
      <c r="AJ17" s="5" t="str">
        <v>00</v>
      </c>
      <c r="AK17" s="5" t="str">
        <v>ee</v>
      </c>
    </row>
    <row r="18" spans="1:37" ht="23" customHeight="1" x14ac:dyDescent="0.3">
      <c r="A18" s="2" t="s">
        <v>2</v>
      </c>
      <c r="B18" s="2" t="s">
        <v>3</v>
      </c>
      <c r="C18" s="2">
        <v>22.5</v>
      </c>
      <c r="D18" s="2" t="s">
        <v>3</v>
      </c>
      <c r="E18" s="2" t="s">
        <v>3</v>
      </c>
      <c r="F18" s="3" t="s">
        <v>38</v>
      </c>
      <c r="G18" s="2" t="s">
        <v>37</v>
      </c>
      <c r="H18" s="2" t="str" cm="1">
        <f t="array" ref="H18">_xlfn.LET(
  _xlpm.parts, _xlfn.TEXTSPLIT(G18, " "),
  _xlpm.count, COUNTA(_xlpm.parts),
  _xlpm.sum, SUM(--HEX2DEC(INDEX(_xlpm.parts, _xlfn.SEQUENCE(_xlpm.count - 1)))),
  "Dec: " &amp; _xlpm.sum &amp; " | Hex: " &amp; DEC2HEX(_xlpm.sum)
)</f>
        <v>Dec: 1275 | Hex: 4FB</v>
      </c>
      <c r="I18" s="2" t="str">
        <f t="shared" si="0"/>
        <v>EF</v>
      </c>
      <c r="J18" s="2" t="b">
        <f t="shared" si="1"/>
        <v>1</v>
      </c>
      <c r="K18" s="5" t="str" cm="1">
        <f t="array" ref="K18:AK18">_xlfn.TEXTSPLIT(G18, " ")</f>
        <v>02</v>
      </c>
      <c r="L18" s="5" t="str">
        <v>20</v>
      </c>
      <c r="M18" s="5" t="str">
        <v>e0</v>
      </c>
      <c r="N18" s="5" t="str">
        <v>04</v>
      </c>
      <c r="O18" s="5" t="str">
        <v>00</v>
      </c>
      <c r="P18" s="5" t="str">
        <v>00</v>
      </c>
      <c r="Q18" s="5" t="str">
        <v>00</v>
      </c>
      <c r="R18" s="5" t="str">
        <v>06</v>
      </c>
      <c r="S18" s="5" t="str">
        <v>02</v>
      </c>
      <c r="T18" s="5" t="str">
        <v>20</v>
      </c>
      <c r="U18" s="5" t="str">
        <v>e0</v>
      </c>
      <c r="V18" s="5" t="str">
        <v>04</v>
      </c>
      <c r="W18" s="5" t="str">
        <v>00</v>
      </c>
      <c r="X18" s="5" t="str">
        <v>09</v>
      </c>
      <c r="Y18" s="8" t="str">
        <v>2d</v>
      </c>
      <c r="Z18" s="5" t="str">
        <v>80</v>
      </c>
      <c r="AA18" s="5" t="str">
        <v>af</v>
      </c>
      <c r="AB18" s="5" t="str">
        <v>0d</v>
      </c>
      <c r="AC18" s="5" t="str">
        <v>00</v>
      </c>
      <c r="AD18" s="5" t="str">
        <v>0e</v>
      </c>
      <c r="AE18" s="5" t="str">
        <v>e0</v>
      </c>
      <c r="AF18" s="5" t="str">
        <v>00</v>
      </c>
      <c r="AG18" s="5" t="str">
        <v>00</v>
      </c>
      <c r="AH18" s="5" t="str">
        <v>89</v>
      </c>
      <c r="AI18" s="5" t="str">
        <v>00</v>
      </c>
      <c r="AJ18" s="5" t="str">
        <v>00</v>
      </c>
      <c r="AK18" s="5" t="str">
        <v>ef</v>
      </c>
    </row>
    <row r="19" spans="1:37" ht="23" customHeight="1" x14ac:dyDescent="0.3">
      <c r="A19" s="2" t="s">
        <v>2</v>
      </c>
      <c r="B19" s="2" t="s">
        <v>3</v>
      </c>
      <c r="C19" s="2">
        <v>23</v>
      </c>
      <c r="D19" s="2" t="s">
        <v>3</v>
      </c>
      <c r="E19" s="2" t="s">
        <v>3</v>
      </c>
      <c r="F19" s="3" t="s">
        <v>39</v>
      </c>
      <c r="G19" s="2" t="s">
        <v>32</v>
      </c>
      <c r="H19" s="2" t="str" cm="1">
        <f t="array" ref="H19">_xlfn.LET(
  _xlpm.parts, _xlfn.TEXTSPLIT(G19, " "),
  _xlpm.count, COUNTA(_xlpm.parts),
  _xlpm.sum, SUM(--HEX2DEC(INDEX(_xlpm.parts, _xlfn.SEQUENCE(_xlpm.count - 1)))),
  "Dec: " &amp; _xlpm.sum &amp; " | Hex: " &amp; DEC2HEX(_xlpm.sum)
)</f>
        <v>Dec: 1276 | Hex: 4FC</v>
      </c>
      <c r="I19" s="2" t="str">
        <f t="shared" si="0"/>
        <v>F0</v>
      </c>
      <c r="J19" s="2" t="b">
        <f t="shared" si="1"/>
        <v>1</v>
      </c>
      <c r="K19" s="5" t="str" cm="1">
        <f t="array" ref="K19:AK19">_xlfn.TEXTSPLIT(G19, " ")</f>
        <v>02</v>
      </c>
      <c r="L19" s="5" t="str">
        <v>20</v>
      </c>
      <c r="M19" s="5" t="str">
        <v>e0</v>
      </c>
      <c r="N19" s="5" t="str">
        <v>04</v>
      </c>
      <c r="O19" s="5" t="str">
        <v>00</v>
      </c>
      <c r="P19" s="5" t="str">
        <v>00</v>
      </c>
      <c r="Q19" s="5" t="str">
        <v>00</v>
      </c>
      <c r="R19" s="5" t="str">
        <v>06</v>
      </c>
      <c r="S19" s="5" t="str">
        <v>02</v>
      </c>
      <c r="T19" s="5" t="str">
        <v>20</v>
      </c>
      <c r="U19" s="5" t="str">
        <v>e0</v>
      </c>
      <c r="V19" s="5" t="str">
        <v>04</v>
      </c>
      <c r="W19" s="5" t="str">
        <v>00</v>
      </c>
      <c r="X19" s="5" t="str">
        <v>09</v>
      </c>
      <c r="Y19" s="8" t="str">
        <v>2e</v>
      </c>
      <c r="Z19" s="5" t="str">
        <v>80</v>
      </c>
      <c r="AA19" s="5" t="str">
        <v>af</v>
      </c>
      <c r="AB19" s="5" t="str">
        <v>0d</v>
      </c>
      <c r="AC19" s="5" t="str">
        <v>00</v>
      </c>
      <c r="AD19" s="5" t="str">
        <v>0e</v>
      </c>
      <c r="AE19" s="5" t="str">
        <v>e0</v>
      </c>
      <c r="AF19" s="5" t="str">
        <v>00</v>
      </c>
      <c r="AG19" s="5" t="str">
        <v>00</v>
      </c>
      <c r="AH19" s="5" t="str">
        <v>89</v>
      </c>
      <c r="AI19" s="5" t="str">
        <v>00</v>
      </c>
      <c r="AJ19" s="5" t="str">
        <v>00</v>
      </c>
      <c r="AK19" s="5" t="str">
        <v>f0</v>
      </c>
    </row>
    <row r="20" spans="1:37" ht="23" customHeight="1" x14ac:dyDescent="0.3">
      <c r="A20" s="2" t="s">
        <v>2</v>
      </c>
      <c r="B20" s="2" t="s">
        <v>3</v>
      </c>
      <c r="C20" s="2">
        <v>23.5</v>
      </c>
      <c r="D20" s="2" t="s">
        <v>3</v>
      </c>
      <c r="E20" s="2" t="s">
        <v>3</v>
      </c>
      <c r="F20" s="3" t="s">
        <v>42</v>
      </c>
      <c r="G20" s="2" t="s">
        <v>43</v>
      </c>
      <c r="H20" s="2" t="str" cm="1">
        <f t="array" ref="H20">_xlfn.LET(
  _xlpm.parts, _xlfn.TEXTSPLIT(G20, " "),
  _xlpm.count, COUNTA(_xlpm.parts),
  _xlpm.sum, SUM(--HEX2DEC(INDEX(_xlpm.parts, _xlfn.SEQUENCE(_xlpm.count - 1)))),
  "Dec: " &amp; _xlpm.sum &amp; " | Hex: " &amp; DEC2HEX(_xlpm.sum)
)</f>
        <v>Dec: 1277 | Hex: 4FD</v>
      </c>
      <c r="I20" s="2" t="str">
        <f t="shared" si="0"/>
        <v>F1</v>
      </c>
      <c r="J20" s="2" t="b">
        <f t="shared" si="1"/>
        <v>1</v>
      </c>
      <c r="K20" s="5" t="str" cm="1">
        <f t="array" ref="K20:AK20">_xlfn.TEXTSPLIT(G20, " ")</f>
        <v>02</v>
      </c>
      <c r="L20" s="5" t="str">
        <v>20</v>
      </c>
      <c r="M20" s="5" t="str">
        <v>e0</v>
      </c>
      <c r="N20" s="5" t="str">
        <v>04</v>
      </c>
      <c r="O20" s="5" t="str">
        <v>00</v>
      </c>
      <c r="P20" s="5" t="str">
        <v>00</v>
      </c>
      <c r="Q20" s="5" t="str">
        <v>00</v>
      </c>
      <c r="R20" s="5" t="str">
        <v>06</v>
      </c>
      <c r="S20" s="5" t="str">
        <v>02</v>
      </c>
      <c r="T20" s="5" t="str">
        <v>20</v>
      </c>
      <c r="U20" s="5" t="str">
        <v>e0</v>
      </c>
      <c r="V20" s="5" t="str">
        <v>04</v>
      </c>
      <c r="W20" s="5" t="str">
        <v>00</v>
      </c>
      <c r="X20" s="5" t="str">
        <v>09</v>
      </c>
      <c r="Y20" s="8" t="str">
        <v>2f</v>
      </c>
      <c r="Z20" s="5" t="str">
        <v>80</v>
      </c>
      <c r="AA20" s="5" t="str">
        <v>af</v>
      </c>
      <c r="AB20" s="5" t="str">
        <v>0d</v>
      </c>
      <c r="AC20" s="5" t="str">
        <v>00</v>
      </c>
      <c r="AD20" s="5" t="str">
        <v>0e</v>
      </c>
      <c r="AE20" s="5" t="str">
        <v>e0</v>
      </c>
      <c r="AF20" s="5" t="str">
        <v>00</v>
      </c>
      <c r="AG20" s="5" t="str">
        <v>00</v>
      </c>
      <c r="AH20" s="5" t="str">
        <v>89</v>
      </c>
      <c r="AI20" s="5" t="str">
        <v>00</v>
      </c>
      <c r="AJ20" s="5" t="str">
        <v>00</v>
      </c>
      <c r="AK20" s="5" t="str">
        <v>f1</v>
      </c>
    </row>
    <row r="21" spans="1:37" ht="23" customHeight="1" x14ac:dyDescent="0.3">
      <c r="A21" s="2" t="s">
        <v>2</v>
      </c>
      <c r="B21" s="2" t="s">
        <v>3</v>
      </c>
      <c r="C21" s="2">
        <v>24</v>
      </c>
      <c r="D21" s="2" t="s">
        <v>3</v>
      </c>
      <c r="E21" s="2" t="s">
        <v>3</v>
      </c>
      <c r="F21" s="3" t="s">
        <v>44</v>
      </c>
      <c r="G21" s="2" t="s">
        <v>45</v>
      </c>
      <c r="H21" s="2" t="str" cm="1">
        <f t="array" ref="H21">_xlfn.LET(
  _xlpm.parts, _xlfn.TEXTSPLIT(G21, " "),
  _xlpm.count, COUNTA(_xlpm.parts),
  _xlpm.sum, SUM(--HEX2DEC(INDEX(_xlpm.parts, _xlfn.SEQUENCE(_xlpm.count - 1)))),
  "Dec: " &amp; _xlpm.sum &amp; " | Hex: " &amp; DEC2HEX(_xlpm.sum)
)</f>
        <v>Dec: 1278 | Hex: 4FE</v>
      </c>
      <c r="I21" s="2" t="str">
        <f t="shared" si="0"/>
        <v>F2</v>
      </c>
      <c r="J21" s="2" t="b">
        <f t="shared" si="1"/>
        <v>1</v>
      </c>
      <c r="K21" s="5" t="str" cm="1">
        <f t="array" ref="K21:AK21">_xlfn.TEXTSPLIT(G21, " ")</f>
        <v>02</v>
      </c>
      <c r="L21" s="5" t="str">
        <v>20</v>
      </c>
      <c r="M21" s="5" t="str">
        <v>e0</v>
      </c>
      <c r="N21" s="5" t="str">
        <v>04</v>
      </c>
      <c r="O21" s="5" t="str">
        <v>00</v>
      </c>
      <c r="P21" s="5" t="str">
        <v>00</v>
      </c>
      <c r="Q21" s="5" t="str">
        <v>00</v>
      </c>
      <c r="R21" s="5" t="str">
        <v>06</v>
      </c>
      <c r="S21" s="5" t="str">
        <v>02</v>
      </c>
      <c r="T21" s="5" t="str">
        <v>20</v>
      </c>
      <c r="U21" s="5" t="str">
        <v>e0</v>
      </c>
      <c r="V21" s="5" t="str">
        <v>04</v>
      </c>
      <c r="W21" s="5" t="str">
        <v>00</v>
      </c>
      <c r="X21" s="5" t="str">
        <v>09</v>
      </c>
      <c r="Y21" s="8" t="str">
        <v>30</v>
      </c>
      <c r="Z21" s="5" t="str">
        <v>80</v>
      </c>
      <c r="AA21" s="5" t="str">
        <v>af</v>
      </c>
      <c r="AB21" s="5" t="str">
        <v>0d</v>
      </c>
      <c r="AC21" s="5" t="str">
        <v>00</v>
      </c>
      <c r="AD21" s="5" t="str">
        <v>0e</v>
      </c>
      <c r="AE21" s="5" t="str">
        <v>e0</v>
      </c>
      <c r="AF21" s="5" t="str">
        <v>00</v>
      </c>
      <c r="AG21" s="5" t="str">
        <v>00</v>
      </c>
      <c r="AH21" s="5" t="str">
        <v>89</v>
      </c>
      <c r="AI21" s="5" t="str">
        <v>00</v>
      </c>
      <c r="AJ21" s="5" t="str">
        <v>00</v>
      </c>
      <c r="AK21" s="5" t="str">
        <v>f2</v>
      </c>
    </row>
    <row r="22" spans="1:37" ht="23" customHeight="1" x14ac:dyDescent="0.3">
      <c r="A22" s="2" t="s">
        <v>2</v>
      </c>
      <c r="B22" s="2" t="s">
        <v>3</v>
      </c>
      <c r="C22" s="2">
        <v>24.5</v>
      </c>
      <c r="D22" s="2" t="s">
        <v>3</v>
      </c>
      <c r="E22" s="2" t="s">
        <v>3</v>
      </c>
      <c r="F22" s="3" t="s">
        <v>46</v>
      </c>
      <c r="G22" s="2" t="s">
        <v>47</v>
      </c>
      <c r="H22" s="2" t="str" cm="1">
        <f t="array" ref="H22">_xlfn.LET(
  _xlpm.parts, _xlfn.TEXTSPLIT(G22, " "),
  _xlpm.count, COUNTA(_xlpm.parts),
  _xlpm.sum, SUM(--HEX2DEC(INDEX(_xlpm.parts, _xlfn.SEQUENCE(_xlpm.count - 1)))),
  "Dec: " &amp; _xlpm.sum &amp; " | Hex: " &amp; DEC2HEX(_xlpm.sum)
)</f>
        <v>Dec: 1279 | Hex: 4FF</v>
      </c>
      <c r="I22" s="2" t="str">
        <f t="shared" si="0"/>
        <v>F3</v>
      </c>
      <c r="J22" s="2" t="b">
        <f t="shared" si="1"/>
        <v>1</v>
      </c>
      <c r="K22" s="5" t="str" cm="1">
        <f t="array" ref="K22:AK22">_xlfn.TEXTSPLIT(G22, " ")</f>
        <v>02</v>
      </c>
      <c r="L22" s="5" t="str">
        <v>20</v>
      </c>
      <c r="M22" s="5" t="str">
        <v>e0</v>
      </c>
      <c r="N22" s="5" t="str">
        <v>04</v>
      </c>
      <c r="O22" s="5" t="str">
        <v>00</v>
      </c>
      <c r="P22" s="5" t="str">
        <v>00</v>
      </c>
      <c r="Q22" s="5" t="str">
        <v>00</v>
      </c>
      <c r="R22" s="5" t="str">
        <v>06</v>
      </c>
      <c r="S22" s="5" t="str">
        <v>02</v>
      </c>
      <c r="T22" s="5" t="str">
        <v>20</v>
      </c>
      <c r="U22" s="5" t="str">
        <v>e0</v>
      </c>
      <c r="V22" s="5" t="str">
        <v>04</v>
      </c>
      <c r="W22" s="5" t="str">
        <v>00</v>
      </c>
      <c r="X22" s="5" t="str">
        <v>09</v>
      </c>
      <c r="Y22" s="8" t="str">
        <v>31</v>
      </c>
      <c r="Z22" s="5" t="str">
        <v>80</v>
      </c>
      <c r="AA22" s="5" t="str">
        <v>af</v>
      </c>
      <c r="AB22" s="5" t="str">
        <v>0d</v>
      </c>
      <c r="AC22" s="5" t="str">
        <v>00</v>
      </c>
      <c r="AD22" s="5" t="str">
        <v>0e</v>
      </c>
      <c r="AE22" s="5" t="str">
        <v>e0</v>
      </c>
      <c r="AF22" s="5" t="str">
        <v>00</v>
      </c>
      <c r="AG22" s="5" t="str">
        <v>00</v>
      </c>
      <c r="AH22" s="5" t="str">
        <v>89</v>
      </c>
      <c r="AI22" s="5" t="str">
        <v>00</v>
      </c>
      <c r="AJ22" s="5" t="str">
        <v>00</v>
      </c>
      <c r="AK22" s="5" t="str">
        <v>f3</v>
      </c>
    </row>
    <row r="23" spans="1:37" ht="23" customHeight="1" x14ac:dyDescent="0.3">
      <c r="A23" s="2" t="s">
        <v>2</v>
      </c>
      <c r="B23" s="2" t="s">
        <v>3</v>
      </c>
      <c r="C23" s="2">
        <v>25</v>
      </c>
      <c r="D23" s="2" t="s">
        <v>3</v>
      </c>
      <c r="E23" s="2" t="s">
        <v>3</v>
      </c>
      <c r="F23" s="3" t="s">
        <v>48</v>
      </c>
      <c r="G23" s="2" t="s">
        <v>49</v>
      </c>
      <c r="H23" s="2" t="str" cm="1">
        <f t="array" ref="H23">_xlfn.LET(
  _xlpm.parts, _xlfn.TEXTSPLIT(G23, " "),
  _xlpm.count, COUNTA(_xlpm.parts),
  _xlpm.sum, SUM(--HEX2DEC(INDEX(_xlpm.parts, _xlfn.SEQUENCE(_xlpm.count - 1)))),
  "Dec: " &amp; _xlpm.sum &amp; " | Hex: " &amp; DEC2HEX(_xlpm.sum)
)</f>
        <v>Dec: 1280 | Hex: 500</v>
      </c>
      <c r="I23" s="2" t="str">
        <f t="shared" si="0"/>
        <v>F4</v>
      </c>
      <c r="J23" s="2" t="b">
        <f t="shared" si="1"/>
        <v>1</v>
      </c>
      <c r="K23" s="5" t="str" cm="1">
        <f t="array" ref="K23:AK23">_xlfn.TEXTSPLIT(G23, " ")</f>
        <v>02</v>
      </c>
      <c r="L23" s="5" t="str">
        <v>20</v>
      </c>
      <c r="M23" s="5" t="str">
        <v>e0</v>
      </c>
      <c r="N23" s="5" t="str">
        <v>04</v>
      </c>
      <c r="O23" s="5" t="str">
        <v>00</v>
      </c>
      <c r="P23" s="5" t="str">
        <v>00</v>
      </c>
      <c r="Q23" s="5" t="str">
        <v>00</v>
      </c>
      <c r="R23" s="5" t="str">
        <v>06</v>
      </c>
      <c r="S23" s="5" t="str">
        <v>02</v>
      </c>
      <c r="T23" s="5" t="str">
        <v>20</v>
      </c>
      <c r="U23" s="5" t="str">
        <v>e0</v>
      </c>
      <c r="V23" s="5" t="str">
        <v>04</v>
      </c>
      <c r="W23" s="5" t="str">
        <v>00</v>
      </c>
      <c r="X23" s="5" t="str">
        <v>09</v>
      </c>
      <c r="Y23" s="8" t="str">
        <v>32</v>
      </c>
      <c r="Z23" s="5" t="str">
        <v>80</v>
      </c>
      <c r="AA23" s="5" t="str">
        <v>af</v>
      </c>
      <c r="AB23" s="5" t="str">
        <v>0d</v>
      </c>
      <c r="AC23" s="5" t="str">
        <v>00</v>
      </c>
      <c r="AD23" s="5" t="str">
        <v>0e</v>
      </c>
      <c r="AE23" s="5" t="str">
        <v>e0</v>
      </c>
      <c r="AF23" s="5" t="str">
        <v>00</v>
      </c>
      <c r="AG23" s="5" t="str">
        <v>00</v>
      </c>
      <c r="AH23" s="5" t="str">
        <v>89</v>
      </c>
      <c r="AI23" s="5" t="str">
        <v>00</v>
      </c>
      <c r="AJ23" s="5" t="str">
        <v>00</v>
      </c>
      <c r="AK23" s="5" t="str">
        <v>f4</v>
      </c>
    </row>
    <row r="24" spans="1:37" ht="23" customHeight="1" x14ac:dyDescent="0.3">
      <c r="A24" s="2" t="s">
        <v>2</v>
      </c>
      <c r="B24" s="2" t="s">
        <v>3</v>
      </c>
      <c r="C24" s="2">
        <v>25.5</v>
      </c>
      <c r="D24" s="2" t="s">
        <v>3</v>
      </c>
      <c r="E24" s="2" t="s">
        <v>3</v>
      </c>
      <c r="F24" s="3" t="s">
        <v>50</v>
      </c>
      <c r="G24" s="2" t="s">
        <v>51</v>
      </c>
      <c r="H24" s="2" t="str" cm="1">
        <f t="array" ref="H24">_xlfn.LET(
  _xlpm.parts, _xlfn.TEXTSPLIT(G24, " "),
  _xlpm.count, COUNTA(_xlpm.parts),
  _xlpm.sum, SUM(--HEX2DEC(INDEX(_xlpm.parts, _xlfn.SEQUENCE(_xlpm.count - 1)))),
  "Dec: " &amp; _xlpm.sum &amp; " | Hex: " &amp; DEC2HEX(_xlpm.sum)
)</f>
        <v>Dec: 1281 | Hex: 501</v>
      </c>
      <c r="I24" s="2" t="str">
        <f t="shared" si="0"/>
        <v>F5</v>
      </c>
      <c r="J24" s="2" t="b">
        <f t="shared" si="1"/>
        <v>1</v>
      </c>
      <c r="K24" s="5" t="str" cm="1">
        <f t="array" ref="K24:AK24">_xlfn.TEXTSPLIT(G24, " ")</f>
        <v>02</v>
      </c>
      <c r="L24" s="5" t="str">
        <v>20</v>
      </c>
      <c r="M24" s="5" t="str">
        <v>e0</v>
      </c>
      <c r="N24" s="5" t="str">
        <v>04</v>
      </c>
      <c r="O24" s="5" t="str">
        <v>00</v>
      </c>
      <c r="P24" s="5" t="str">
        <v>00</v>
      </c>
      <c r="Q24" s="5" t="str">
        <v>00</v>
      </c>
      <c r="R24" s="5" t="str">
        <v>06</v>
      </c>
      <c r="S24" s="5" t="str">
        <v>02</v>
      </c>
      <c r="T24" s="5" t="str">
        <v>20</v>
      </c>
      <c r="U24" s="5" t="str">
        <v>e0</v>
      </c>
      <c r="V24" s="5" t="str">
        <v>04</v>
      </c>
      <c r="W24" s="5" t="str">
        <v>00</v>
      </c>
      <c r="X24" s="5" t="str">
        <v>09</v>
      </c>
      <c r="Y24" s="8" t="str">
        <v>33</v>
      </c>
      <c r="Z24" s="5" t="str">
        <v>80</v>
      </c>
      <c r="AA24" s="5" t="str">
        <v>af</v>
      </c>
      <c r="AB24" s="5" t="str">
        <v>0d</v>
      </c>
      <c r="AC24" s="5" t="str">
        <v>00</v>
      </c>
      <c r="AD24" s="5" t="str">
        <v>0e</v>
      </c>
      <c r="AE24" s="5" t="str">
        <v>e0</v>
      </c>
      <c r="AF24" s="5" t="str">
        <v>00</v>
      </c>
      <c r="AG24" s="5" t="str">
        <v>00</v>
      </c>
      <c r="AH24" s="5" t="str">
        <v>89</v>
      </c>
      <c r="AI24" s="5" t="str">
        <v>00</v>
      </c>
      <c r="AJ24" s="5" t="str">
        <v>00</v>
      </c>
      <c r="AK24" s="5" t="str">
        <v>f5</v>
      </c>
    </row>
    <row r="25" spans="1:37" ht="23" customHeight="1" x14ac:dyDescent="0.3">
      <c r="A25" s="2" t="s">
        <v>2</v>
      </c>
      <c r="B25" s="2" t="s">
        <v>3</v>
      </c>
      <c r="C25" s="2">
        <v>26</v>
      </c>
      <c r="D25" s="2" t="s">
        <v>3</v>
      </c>
      <c r="E25" s="2" t="s">
        <v>3</v>
      </c>
      <c r="F25" s="3" t="s">
        <v>52</v>
      </c>
      <c r="G25" s="2" t="s">
        <v>53</v>
      </c>
      <c r="H25" s="2" t="str" cm="1">
        <f t="array" ref="H25">_xlfn.LET(
  _xlpm.parts, _xlfn.TEXTSPLIT(G25, " "),
  _xlpm.count, COUNTA(_xlpm.parts),
  _xlpm.sum, SUM(--HEX2DEC(INDEX(_xlpm.parts, _xlfn.SEQUENCE(_xlpm.count - 1)))),
  "Dec: " &amp; _xlpm.sum &amp; " | Hex: " &amp; DEC2HEX(_xlpm.sum)
)</f>
        <v>Dec: 1282 | Hex: 502</v>
      </c>
      <c r="I25" s="2" t="str">
        <f t="shared" si="0"/>
        <v>F6</v>
      </c>
      <c r="J25" s="2" t="b">
        <f t="shared" si="1"/>
        <v>1</v>
      </c>
      <c r="K25" s="5" t="str" cm="1">
        <f t="array" ref="K25:AK25">_xlfn.TEXTSPLIT(G25, " ")</f>
        <v>02</v>
      </c>
      <c r="L25" s="5" t="str">
        <v>20</v>
      </c>
      <c r="M25" s="5" t="str">
        <v>e0</v>
      </c>
      <c r="N25" s="5" t="str">
        <v>04</v>
      </c>
      <c r="O25" s="5" t="str">
        <v>00</v>
      </c>
      <c r="P25" s="5" t="str">
        <v>00</v>
      </c>
      <c r="Q25" s="5" t="str">
        <v>00</v>
      </c>
      <c r="R25" s="5" t="str">
        <v>06</v>
      </c>
      <c r="S25" s="5" t="str">
        <v>02</v>
      </c>
      <c r="T25" s="5" t="str">
        <v>20</v>
      </c>
      <c r="U25" s="5" t="str">
        <v>e0</v>
      </c>
      <c r="V25" s="5" t="str">
        <v>04</v>
      </c>
      <c r="W25" s="5" t="str">
        <v>00</v>
      </c>
      <c r="X25" s="5" t="str">
        <v>09</v>
      </c>
      <c r="Y25" s="8" t="str">
        <v>34</v>
      </c>
      <c r="Z25" s="5" t="str">
        <v>80</v>
      </c>
      <c r="AA25" s="5" t="str">
        <v>af</v>
      </c>
      <c r="AB25" s="5" t="str">
        <v>0d</v>
      </c>
      <c r="AC25" s="5" t="str">
        <v>00</v>
      </c>
      <c r="AD25" s="5" t="str">
        <v>0e</v>
      </c>
      <c r="AE25" s="5" t="str">
        <v>e0</v>
      </c>
      <c r="AF25" s="5" t="str">
        <v>00</v>
      </c>
      <c r="AG25" s="5" t="str">
        <v>00</v>
      </c>
      <c r="AH25" s="5" t="str">
        <v>89</v>
      </c>
      <c r="AI25" s="5" t="str">
        <v>00</v>
      </c>
      <c r="AJ25" s="5" t="str">
        <v>00</v>
      </c>
      <c r="AK25" s="5" t="str">
        <v>f6</v>
      </c>
    </row>
    <row r="26" spans="1:37" ht="23" customHeight="1" x14ac:dyDescent="0.3">
      <c r="A26" s="2" t="s">
        <v>2</v>
      </c>
      <c r="B26" s="2" t="s">
        <v>3</v>
      </c>
      <c r="C26" s="2">
        <v>26.5</v>
      </c>
      <c r="D26" s="2" t="s">
        <v>3</v>
      </c>
      <c r="E26" s="2" t="s">
        <v>3</v>
      </c>
      <c r="F26" s="3" t="s">
        <v>54</v>
      </c>
      <c r="G26" s="2" t="s">
        <v>55</v>
      </c>
      <c r="H26" s="2" t="str" cm="1">
        <f t="array" ref="H26">_xlfn.LET(
  _xlpm.parts, _xlfn.TEXTSPLIT(G26, " "),
  _xlpm.count, COUNTA(_xlpm.parts),
  _xlpm.sum, SUM(--HEX2DEC(INDEX(_xlpm.parts, _xlfn.SEQUENCE(_xlpm.count - 1)))),
  "Dec: " &amp; _xlpm.sum &amp; " | Hex: " &amp; DEC2HEX(_xlpm.sum)
)</f>
        <v>Dec: 1283 | Hex: 503</v>
      </c>
      <c r="I26" s="2" t="str">
        <f t="shared" si="0"/>
        <v>F7</v>
      </c>
      <c r="J26" s="2" t="b">
        <f t="shared" si="1"/>
        <v>1</v>
      </c>
      <c r="K26" s="5" t="str" cm="1">
        <f t="array" ref="K26:AK26">_xlfn.TEXTSPLIT(G26, " ")</f>
        <v>02</v>
      </c>
      <c r="L26" s="5" t="str">
        <v>20</v>
      </c>
      <c r="M26" s="5" t="str">
        <v>e0</v>
      </c>
      <c r="N26" s="5" t="str">
        <v>04</v>
      </c>
      <c r="O26" s="5" t="str">
        <v>00</v>
      </c>
      <c r="P26" s="5" t="str">
        <v>00</v>
      </c>
      <c r="Q26" s="5" t="str">
        <v>00</v>
      </c>
      <c r="R26" s="5" t="str">
        <v>06</v>
      </c>
      <c r="S26" s="5" t="str">
        <v>02</v>
      </c>
      <c r="T26" s="5" t="str">
        <v>20</v>
      </c>
      <c r="U26" s="5" t="str">
        <v>e0</v>
      </c>
      <c r="V26" s="5" t="str">
        <v>04</v>
      </c>
      <c r="W26" s="5" t="str">
        <v>00</v>
      </c>
      <c r="X26" s="5" t="str">
        <v>09</v>
      </c>
      <c r="Y26" s="8" t="str">
        <v>35</v>
      </c>
      <c r="Z26" s="5" t="str">
        <v>80</v>
      </c>
      <c r="AA26" s="5" t="str">
        <v>af</v>
      </c>
      <c r="AB26" s="5" t="str">
        <v>0d</v>
      </c>
      <c r="AC26" s="5" t="str">
        <v>00</v>
      </c>
      <c r="AD26" s="5" t="str">
        <v>0e</v>
      </c>
      <c r="AE26" s="5" t="str">
        <v>e0</v>
      </c>
      <c r="AF26" s="5" t="str">
        <v>00</v>
      </c>
      <c r="AG26" s="5" t="str">
        <v>00</v>
      </c>
      <c r="AH26" s="5" t="str">
        <v>89</v>
      </c>
      <c r="AI26" s="5" t="str">
        <v>00</v>
      </c>
      <c r="AJ26" s="5" t="str">
        <v>00</v>
      </c>
      <c r="AK26" s="5" t="str">
        <v>f7</v>
      </c>
    </row>
    <row r="27" spans="1:37" ht="23" customHeight="1" x14ac:dyDescent="0.3">
      <c r="A27" s="2" t="s">
        <v>2</v>
      </c>
      <c r="B27" s="2" t="s">
        <v>3</v>
      </c>
      <c r="C27" s="2">
        <v>27</v>
      </c>
      <c r="D27" s="2" t="s">
        <v>3</v>
      </c>
      <c r="E27" s="2" t="s">
        <v>3</v>
      </c>
      <c r="F27" s="3" t="s">
        <v>56</v>
      </c>
      <c r="G27" s="2" t="s">
        <v>57</v>
      </c>
      <c r="H27" s="2" t="str" cm="1">
        <f t="array" ref="H27">_xlfn.LET(
  _xlpm.parts, _xlfn.TEXTSPLIT(G27, " "),
  _xlpm.count, COUNTA(_xlpm.parts),
  _xlpm.sum, SUM(--HEX2DEC(INDEX(_xlpm.parts, _xlfn.SEQUENCE(_xlpm.count - 1)))),
  "Dec: " &amp; _xlpm.sum &amp; " | Hex: " &amp; DEC2HEX(_xlpm.sum)
)</f>
        <v>Dec: 1284 | Hex: 504</v>
      </c>
      <c r="I27" s="2" t="str">
        <f t="shared" si="0"/>
        <v>F8</v>
      </c>
      <c r="J27" s="2" t="b">
        <f t="shared" si="1"/>
        <v>1</v>
      </c>
      <c r="K27" s="5" t="str" cm="1">
        <f t="array" ref="K27:AK27">_xlfn.TEXTSPLIT(G27, " ")</f>
        <v>02</v>
      </c>
      <c r="L27" s="5" t="str">
        <v>20</v>
      </c>
      <c r="M27" s="5" t="str">
        <v>e0</v>
      </c>
      <c r="N27" s="5" t="str">
        <v>04</v>
      </c>
      <c r="O27" s="5" t="str">
        <v>00</v>
      </c>
      <c r="P27" s="5" t="str">
        <v>00</v>
      </c>
      <c r="Q27" s="5" t="str">
        <v>00</v>
      </c>
      <c r="R27" s="5" t="str">
        <v>06</v>
      </c>
      <c r="S27" s="5" t="str">
        <v>02</v>
      </c>
      <c r="T27" s="5" t="str">
        <v>20</v>
      </c>
      <c r="U27" s="5" t="str">
        <v>e0</v>
      </c>
      <c r="V27" s="5" t="str">
        <v>04</v>
      </c>
      <c r="W27" s="5" t="str">
        <v>00</v>
      </c>
      <c r="X27" s="5" t="str">
        <v>09</v>
      </c>
      <c r="Y27" s="8" t="str">
        <v>36</v>
      </c>
      <c r="Z27" s="5" t="str">
        <v>80</v>
      </c>
      <c r="AA27" s="5" t="str">
        <v>af</v>
      </c>
      <c r="AB27" s="5" t="str">
        <v>0d</v>
      </c>
      <c r="AC27" s="5" t="str">
        <v>00</v>
      </c>
      <c r="AD27" s="5" t="str">
        <v>0e</v>
      </c>
      <c r="AE27" s="5" t="str">
        <v>e0</v>
      </c>
      <c r="AF27" s="5" t="str">
        <v>00</v>
      </c>
      <c r="AG27" s="5" t="str">
        <v>00</v>
      </c>
      <c r="AH27" s="5" t="str">
        <v>89</v>
      </c>
      <c r="AI27" s="5" t="str">
        <v>00</v>
      </c>
      <c r="AJ27" s="5" t="str">
        <v>00</v>
      </c>
      <c r="AK27" s="5" t="str">
        <v>f8</v>
      </c>
    </row>
    <row r="28" spans="1:37" ht="23" customHeight="1" x14ac:dyDescent="0.3">
      <c r="A28" s="2" t="s">
        <v>2</v>
      </c>
      <c r="B28" s="2" t="s">
        <v>3</v>
      </c>
      <c r="C28" s="2">
        <v>27.5</v>
      </c>
      <c r="D28" s="2" t="s">
        <v>3</v>
      </c>
      <c r="E28" s="2" t="s">
        <v>3</v>
      </c>
      <c r="F28" s="3" t="s">
        <v>58</v>
      </c>
      <c r="G28" s="2" t="s">
        <v>59</v>
      </c>
      <c r="H28" s="2" t="str" cm="1">
        <f t="array" ref="H28">_xlfn.LET(
  _xlpm.parts, _xlfn.TEXTSPLIT(G28, " "),
  _xlpm.count, COUNTA(_xlpm.parts),
  _xlpm.sum, SUM(--HEX2DEC(INDEX(_xlpm.parts, _xlfn.SEQUENCE(_xlpm.count - 1)))),
  "Dec: " &amp; _xlpm.sum &amp; " | Hex: " &amp; DEC2HEX(_xlpm.sum)
)</f>
        <v>Dec: 1285 | Hex: 505</v>
      </c>
      <c r="I28" s="2" t="str">
        <f t="shared" si="0"/>
        <v>F9</v>
      </c>
      <c r="J28" s="2" t="b">
        <f t="shared" si="1"/>
        <v>1</v>
      </c>
      <c r="K28" s="5" t="str" cm="1">
        <f t="array" ref="K28:AK28">_xlfn.TEXTSPLIT(G28, " ")</f>
        <v>02</v>
      </c>
      <c r="L28" s="5" t="str">
        <v>20</v>
      </c>
      <c r="M28" s="5" t="str">
        <v>e0</v>
      </c>
      <c r="N28" s="5" t="str">
        <v>04</v>
      </c>
      <c r="O28" s="5" t="str">
        <v>00</v>
      </c>
      <c r="P28" s="5" t="str">
        <v>00</v>
      </c>
      <c r="Q28" s="5" t="str">
        <v>00</v>
      </c>
      <c r="R28" s="5" t="str">
        <v>06</v>
      </c>
      <c r="S28" s="5" t="str">
        <v>02</v>
      </c>
      <c r="T28" s="5" t="str">
        <v>20</v>
      </c>
      <c r="U28" s="5" t="str">
        <v>e0</v>
      </c>
      <c r="V28" s="5" t="str">
        <v>04</v>
      </c>
      <c r="W28" s="5" t="str">
        <v>00</v>
      </c>
      <c r="X28" s="5" t="str">
        <v>09</v>
      </c>
      <c r="Y28" s="8" t="str">
        <v>37</v>
      </c>
      <c r="Z28" s="5" t="str">
        <v>80</v>
      </c>
      <c r="AA28" s="5" t="str">
        <v>af</v>
      </c>
      <c r="AB28" s="5" t="str">
        <v>0d</v>
      </c>
      <c r="AC28" s="5" t="str">
        <v>00</v>
      </c>
      <c r="AD28" s="5" t="str">
        <v>0e</v>
      </c>
      <c r="AE28" s="5" t="str">
        <v>e0</v>
      </c>
      <c r="AF28" s="5" t="str">
        <v>00</v>
      </c>
      <c r="AG28" s="5" t="str">
        <v>00</v>
      </c>
      <c r="AH28" s="5" t="str">
        <v>89</v>
      </c>
      <c r="AI28" s="5" t="str">
        <v>00</v>
      </c>
      <c r="AJ28" s="5" t="str">
        <v>00</v>
      </c>
      <c r="AK28" s="5" t="str">
        <v>f9</v>
      </c>
    </row>
    <row r="29" spans="1:37" ht="23" customHeight="1" x14ac:dyDescent="0.3">
      <c r="A29" s="2" t="s">
        <v>2</v>
      </c>
      <c r="B29" s="2" t="s">
        <v>3</v>
      </c>
      <c r="C29" s="2">
        <v>28</v>
      </c>
      <c r="D29" s="2" t="s">
        <v>3</v>
      </c>
      <c r="E29" s="2" t="s">
        <v>3</v>
      </c>
      <c r="F29" s="3" t="s">
        <v>60</v>
      </c>
      <c r="G29" s="2" t="s">
        <v>61</v>
      </c>
      <c r="H29" s="2" t="str" cm="1">
        <f t="array" ref="H29">_xlfn.LET(
  _xlpm.parts, _xlfn.TEXTSPLIT(G29, " "),
  _xlpm.count, COUNTA(_xlpm.parts),
  _xlpm.sum, SUM(--HEX2DEC(INDEX(_xlpm.parts, _xlfn.SEQUENCE(_xlpm.count - 1)))),
  "Dec: " &amp; _xlpm.sum &amp; " | Hex: " &amp; DEC2HEX(_xlpm.sum)
)</f>
        <v>Dec: 1286 | Hex: 506</v>
      </c>
      <c r="I29" s="2" t="str">
        <f t="shared" si="0"/>
        <v>FA</v>
      </c>
      <c r="J29" s="2" t="b">
        <f t="shared" si="1"/>
        <v>1</v>
      </c>
      <c r="K29" s="5" t="str" cm="1">
        <f t="array" ref="K29:AK29">_xlfn.TEXTSPLIT(G29, " ")</f>
        <v>02</v>
      </c>
      <c r="L29" s="5" t="str">
        <v>20</v>
      </c>
      <c r="M29" s="5" t="str">
        <v>e0</v>
      </c>
      <c r="N29" s="5" t="str">
        <v>04</v>
      </c>
      <c r="O29" s="5" t="str">
        <v>00</v>
      </c>
      <c r="P29" s="5" t="str">
        <v>00</v>
      </c>
      <c r="Q29" s="5" t="str">
        <v>00</v>
      </c>
      <c r="R29" s="5" t="str">
        <v>06</v>
      </c>
      <c r="S29" s="5" t="str">
        <v>02</v>
      </c>
      <c r="T29" s="5" t="str">
        <v>20</v>
      </c>
      <c r="U29" s="5" t="str">
        <v>e0</v>
      </c>
      <c r="V29" s="5" t="str">
        <v>04</v>
      </c>
      <c r="W29" s="5" t="str">
        <v>00</v>
      </c>
      <c r="X29" s="5" t="str">
        <v>09</v>
      </c>
      <c r="Y29" s="8" t="str">
        <v>38</v>
      </c>
      <c r="Z29" s="5" t="str">
        <v>80</v>
      </c>
      <c r="AA29" s="5" t="str">
        <v>af</v>
      </c>
      <c r="AB29" s="5" t="str">
        <v>0d</v>
      </c>
      <c r="AC29" s="5" t="str">
        <v>00</v>
      </c>
      <c r="AD29" s="5" t="str">
        <v>0e</v>
      </c>
      <c r="AE29" s="5" t="str">
        <v>e0</v>
      </c>
      <c r="AF29" s="5" t="str">
        <v>00</v>
      </c>
      <c r="AG29" s="5" t="str">
        <v>00</v>
      </c>
      <c r="AH29" s="5" t="str">
        <v>89</v>
      </c>
      <c r="AI29" s="5" t="str">
        <v>00</v>
      </c>
      <c r="AJ29" s="5" t="str">
        <v>00</v>
      </c>
      <c r="AK29" s="5" t="str">
        <v>fa</v>
      </c>
    </row>
    <row r="30" spans="1:37" ht="23" customHeight="1" x14ac:dyDescent="0.3">
      <c r="A30" s="2" t="s">
        <v>2</v>
      </c>
      <c r="B30" s="2" t="s">
        <v>3</v>
      </c>
      <c r="C30" s="2">
        <v>28.5</v>
      </c>
      <c r="D30" s="2" t="s">
        <v>3</v>
      </c>
      <c r="E30" s="2" t="s">
        <v>3</v>
      </c>
      <c r="F30" s="3" t="s">
        <v>62</v>
      </c>
      <c r="G30" s="2" t="s">
        <v>63</v>
      </c>
      <c r="H30" s="2" t="str" cm="1">
        <f t="array" ref="H30">_xlfn.LET(
  _xlpm.parts, _xlfn.TEXTSPLIT(G30, " "),
  _xlpm.count, COUNTA(_xlpm.parts),
  _xlpm.sum, SUM(--HEX2DEC(INDEX(_xlpm.parts, _xlfn.SEQUENCE(_xlpm.count - 1)))),
  "Dec: " &amp; _xlpm.sum &amp; " | Hex: " &amp; DEC2HEX(_xlpm.sum)
)</f>
        <v>Dec: 1287 | Hex: 507</v>
      </c>
      <c r="I30" s="2" t="str">
        <f t="shared" si="0"/>
        <v>FB</v>
      </c>
      <c r="J30" s="2" t="b">
        <f t="shared" si="1"/>
        <v>1</v>
      </c>
      <c r="K30" s="5" t="str" cm="1">
        <f t="array" ref="K30:AK30">_xlfn.TEXTSPLIT(G30, " ")</f>
        <v>02</v>
      </c>
      <c r="L30" s="5" t="str">
        <v>20</v>
      </c>
      <c r="M30" s="5" t="str">
        <v>e0</v>
      </c>
      <c r="N30" s="5" t="str">
        <v>04</v>
      </c>
      <c r="O30" s="5" t="str">
        <v>00</v>
      </c>
      <c r="P30" s="5" t="str">
        <v>00</v>
      </c>
      <c r="Q30" s="5" t="str">
        <v>00</v>
      </c>
      <c r="R30" s="5" t="str">
        <v>06</v>
      </c>
      <c r="S30" s="5" t="str">
        <v>02</v>
      </c>
      <c r="T30" s="5" t="str">
        <v>20</v>
      </c>
      <c r="U30" s="5" t="str">
        <v>e0</v>
      </c>
      <c r="V30" s="5" t="str">
        <v>04</v>
      </c>
      <c r="W30" s="5" t="str">
        <v>00</v>
      </c>
      <c r="X30" s="5" t="str">
        <v>09</v>
      </c>
      <c r="Y30" s="8" t="str">
        <v>39</v>
      </c>
      <c r="Z30" s="5" t="str">
        <v>80</v>
      </c>
      <c r="AA30" s="5" t="str">
        <v>af</v>
      </c>
      <c r="AB30" s="5" t="str">
        <v>0d</v>
      </c>
      <c r="AC30" s="5" t="str">
        <v>00</v>
      </c>
      <c r="AD30" s="5" t="str">
        <v>0e</v>
      </c>
      <c r="AE30" s="5" t="str">
        <v>e0</v>
      </c>
      <c r="AF30" s="5" t="str">
        <v>00</v>
      </c>
      <c r="AG30" s="5" t="str">
        <v>00</v>
      </c>
      <c r="AH30" s="5" t="str">
        <v>89</v>
      </c>
      <c r="AI30" s="5" t="str">
        <v>00</v>
      </c>
      <c r="AJ30" s="5" t="str">
        <v>00</v>
      </c>
      <c r="AK30" s="5" t="str">
        <v>fb</v>
      </c>
    </row>
    <row r="31" spans="1:37" ht="23" customHeight="1" x14ac:dyDescent="0.3">
      <c r="A31" s="2" t="s">
        <v>2</v>
      </c>
      <c r="B31" s="2" t="s">
        <v>3</v>
      </c>
      <c r="C31" s="2">
        <v>29</v>
      </c>
      <c r="D31" s="2" t="s">
        <v>3</v>
      </c>
      <c r="E31" s="2" t="s">
        <v>3</v>
      </c>
      <c r="F31" s="3" t="s">
        <v>64</v>
      </c>
      <c r="G31" s="2" t="s">
        <v>65</v>
      </c>
      <c r="H31" s="2" t="str" cm="1">
        <f t="array" ref="H31">_xlfn.LET(
  _xlpm.parts, _xlfn.TEXTSPLIT(G31, " "),
  _xlpm.count, COUNTA(_xlpm.parts),
  _xlpm.sum, SUM(--HEX2DEC(INDEX(_xlpm.parts, _xlfn.SEQUENCE(_xlpm.count - 1)))),
  "Dec: " &amp; _xlpm.sum &amp; " | Hex: " &amp; DEC2HEX(_xlpm.sum)
)</f>
        <v>Dec: 1288 | Hex: 508</v>
      </c>
      <c r="I31" s="2" t="str">
        <f t="shared" si="0"/>
        <v>FC</v>
      </c>
      <c r="J31" s="2" t="b">
        <f t="shared" si="1"/>
        <v>1</v>
      </c>
      <c r="K31" s="5" t="str" cm="1">
        <f t="array" ref="K31:AK31">_xlfn.TEXTSPLIT(G31, " ")</f>
        <v>02</v>
      </c>
      <c r="L31" s="5" t="str">
        <v>20</v>
      </c>
      <c r="M31" s="5" t="str">
        <v>e0</v>
      </c>
      <c r="N31" s="5" t="str">
        <v>04</v>
      </c>
      <c r="O31" s="5" t="str">
        <v>00</v>
      </c>
      <c r="P31" s="5" t="str">
        <v>00</v>
      </c>
      <c r="Q31" s="5" t="str">
        <v>00</v>
      </c>
      <c r="R31" s="5" t="str">
        <v>06</v>
      </c>
      <c r="S31" s="5" t="str">
        <v>02</v>
      </c>
      <c r="T31" s="5" t="str">
        <v>20</v>
      </c>
      <c r="U31" s="5" t="str">
        <v>e0</v>
      </c>
      <c r="V31" s="5" t="str">
        <v>04</v>
      </c>
      <c r="W31" s="5" t="str">
        <v>00</v>
      </c>
      <c r="X31" s="5" t="str">
        <v>09</v>
      </c>
      <c r="Y31" s="8" t="str">
        <v>3a</v>
      </c>
      <c r="Z31" s="5" t="str">
        <v>80</v>
      </c>
      <c r="AA31" s="5" t="str">
        <v>af</v>
      </c>
      <c r="AB31" s="5" t="str">
        <v>0d</v>
      </c>
      <c r="AC31" s="5" t="str">
        <v>00</v>
      </c>
      <c r="AD31" s="5" t="str">
        <v>0e</v>
      </c>
      <c r="AE31" s="5" t="str">
        <v>e0</v>
      </c>
      <c r="AF31" s="5" t="str">
        <v>00</v>
      </c>
      <c r="AG31" s="5" t="str">
        <v>00</v>
      </c>
      <c r="AH31" s="5" t="str">
        <v>89</v>
      </c>
      <c r="AI31" s="5" t="str">
        <v>00</v>
      </c>
      <c r="AJ31" s="5" t="str">
        <v>00</v>
      </c>
      <c r="AK31" s="5" t="str">
        <v>fc</v>
      </c>
    </row>
    <row r="32" spans="1:37" ht="23" customHeight="1" x14ac:dyDescent="0.3">
      <c r="A32" s="2" t="s">
        <v>2</v>
      </c>
      <c r="B32" s="2" t="s">
        <v>3</v>
      </c>
      <c r="C32" s="2">
        <v>29.5</v>
      </c>
      <c r="D32" s="2" t="s">
        <v>3</v>
      </c>
      <c r="E32" s="2" t="s">
        <v>3</v>
      </c>
      <c r="F32" s="3" t="s">
        <v>66</v>
      </c>
      <c r="G32" s="2" t="s">
        <v>67</v>
      </c>
      <c r="H32" s="2" t="str" cm="1">
        <f t="array" ref="H32">_xlfn.LET(
  _xlpm.parts, _xlfn.TEXTSPLIT(G32, " "),
  _xlpm.count, COUNTA(_xlpm.parts),
  _xlpm.sum, SUM(--HEX2DEC(INDEX(_xlpm.parts, _xlfn.SEQUENCE(_xlpm.count - 1)))),
  "Dec: " &amp; _xlpm.sum &amp; " | Hex: " &amp; DEC2HEX(_xlpm.sum)
)</f>
        <v>Dec: 1289 | Hex: 509</v>
      </c>
      <c r="I32" s="2" t="str">
        <f t="shared" si="0"/>
        <v>FD</v>
      </c>
      <c r="J32" s="2" t="b">
        <f t="shared" si="1"/>
        <v>1</v>
      </c>
      <c r="K32" s="5" t="str" cm="1">
        <f t="array" ref="K32:AK32">_xlfn.TEXTSPLIT(G32, " ")</f>
        <v>02</v>
      </c>
      <c r="L32" s="5" t="str">
        <v>20</v>
      </c>
      <c r="M32" s="5" t="str">
        <v>e0</v>
      </c>
      <c r="N32" s="5" t="str">
        <v>04</v>
      </c>
      <c r="O32" s="5" t="str">
        <v>00</v>
      </c>
      <c r="P32" s="5" t="str">
        <v>00</v>
      </c>
      <c r="Q32" s="5" t="str">
        <v>00</v>
      </c>
      <c r="R32" s="5" t="str">
        <v>06</v>
      </c>
      <c r="S32" s="5" t="str">
        <v>02</v>
      </c>
      <c r="T32" s="5" t="str">
        <v>20</v>
      </c>
      <c r="U32" s="5" t="str">
        <v>e0</v>
      </c>
      <c r="V32" s="5" t="str">
        <v>04</v>
      </c>
      <c r="W32" s="5" t="str">
        <v>00</v>
      </c>
      <c r="X32" s="5" t="str">
        <v>09</v>
      </c>
      <c r="Y32" s="8" t="str">
        <v>3b</v>
      </c>
      <c r="Z32" s="5" t="str">
        <v>80</v>
      </c>
      <c r="AA32" s="5" t="str">
        <v>af</v>
      </c>
      <c r="AB32" s="5" t="str">
        <v>0d</v>
      </c>
      <c r="AC32" s="5" t="str">
        <v>00</v>
      </c>
      <c r="AD32" s="5" t="str">
        <v>0e</v>
      </c>
      <c r="AE32" s="5" t="str">
        <v>e0</v>
      </c>
      <c r="AF32" s="5" t="str">
        <v>00</v>
      </c>
      <c r="AG32" s="5" t="str">
        <v>00</v>
      </c>
      <c r="AH32" s="5" t="str">
        <v>89</v>
      </c>
      <c r="AI32" s="5" t="str">
        <v>00</v>
      </c>
      <c r="AJ32" s="5" t="str">
        <v>00</v>
      </c>
      <c r="AK32" s="5" t="str">
        <v>fd</v>
      </c>
    </row>
    <row r="33" spans="1:37" ht="23" customHeight="1" x14ac:dyDescent="0.3">
      <c r="A33" s="2" t="s">
        <v>2</v>
      </c>
      <c r="B33" s="2" t="s">
        <v>3</v>
      </c>
      <c r="C33" s="2">
        <v>30</v>
      </c>
      <c r="D33" s="2" t="s">
        <v>3</v>
      </c>
      <c r="E33" s="2" t="s">
        <v>3</v>
      </c>
      <c r="F33" s="3" t="s">
        <v>68</v>
      </c>
      <c r="G33" s="2" t="s">
        <v>69</v>
      </c>
      <c r="H33" s="2" t="str" cm="1">
        <f t="array" ref="H33">_xlfn.LET(
  _xlpm.parts, _xlfn.TEXTSPLIT(G33, " "),
  _xlpm.count, COUNTA(_xlpm.parts),
  _xlpm.sum, SUM(--HEX2DEC(INDEX(_xlpm.parts, _xlfn.SEQUENCE(_xlpm.count - 1)))),
  "Dec: " &amp; _xlpm.sum &amp; " | Hex: " &amp; DEC2HEX(_xlpm.sum)
)</f>
        <v>Dec: 1290 | Hex: 50A</v>
      </c>
      <c r="I33" s="2" t="str">
        <f t="shared" si="0"/>
        <v>FE</v>
      </c>
      <c r="J33" s="2" t="b">
        <f t="shared" si="1"/>
        <v>1</v>
      </c>
      <c r="K33" s="5" t="str" cm="1">
        <f t="array" ref="K33:AK33">_xlfn.TEXTSPLIT(G33, " ")</f>
        <v>02</v>
      </c>
      <c r="L33" s="5" t="str">
        <v>20</v>
      </c>
      <c r="M33" s="5" t="str">
        <v>e0</v>
      </c>
      <c r="N33" s="5" t="str">
        <v>04</v>
      </c>
      <c r="O33" s="5" t="str">
        <v>00</v>
      </c>
      <c r="P33" s="5" t="str">
        <v>00</v>
      </c>
      <c r="Q33" s="5" t="str">
        <v>00</v>
      </c>
      <c r="R33" s="5" t="str">
        <v>06</v>
      </c>
      <c r="S33" s="5" t="str">
        <v>02</v>
      </c>
      <c r="T33" s="5" t="str">
        <v>20</v>
      </c>
      <c r="U33" s="5" t="str">
        <v>e0</v>
      </c>
      <c r="V33" s="5" t="str">
        <v>04</v>
      </c>
      <c r="W33" s="5" t="str">
        <v>00</v>
      </c>
      <c r="X33" s="5" t="str">
        <v>09</v>
      </c>
      <c r="Y33" s="8" t="str">
        <v>3c</v>
      </c>
      <c r="Z33" s="5" t="str">
        <v>80</v>
      </c>
      <c r="AA33" s="5" t="str">
        <v>af</v>
      </c>
      <c r="AB33" s="5" t="str">
        <v>0d</v>
      </c>
      <c r="AC33" s="5" t="str">
        <v>00</v>
      </c>
      <c r="AD33" s="5" t="str">
        <v>0e</v>
      </c>
      <c r="AE33" s="5" t="str">
        <v>e0</v>
      </c>
      <c r="AF33" s="5" t="str">
        <v>00</v>
      </c>
      <c r="AG33" s="5" t="str">
        <v>00</v>
      </c>
      <c r="AH33" s="5" t="str">
        <v>89</v>
      </c>
      <c r="AI33" s="5" t="str">
        <v>00</v>
      </c>
      <c r="AJ33" s="5" t="str">
        <v>00</v>
      </c>
      <c r="AK33" s="5" t="str">
        <v>fe</v>
      </c>
    </row>
    <row r="35" spans="1:37" ht="23" customHeight="1" x14ac:dyDescent="0.3">
      <c r="A35" s="2" t="s">
        <v>1</v>
      </c>
      <c r="B35" s="2" t="s">
        <v>5</v>
      </c>
      <c r="C35" s="2">
        <v>30</v>
      </c>
      <c r="D35" s="2" t="s">
        <v>3</v>
      </c>
      <c r="E35" s="2" t="s">
        <v>3</v>
      </c>
      <c r="F35" s="3" t="s">
        <v>70</v>
      </c>
      <c r="G35" s="2" t="s">
        <v>69</v>
      </c>
      <c r="H35" s="2" t="str" cm="1">
        <f t="array" ref="H35">_xlfn.LET(
  _xlpm.parts, _xlfn.TEXTSPLIT(G35, " "),
  _xlpm.count, COUNTA(_xlpm.parts),
  _xlpm.sum, SUM(--HEX2DEC(INDEX(_xlpm.parts, _xlfn.SEQUENCE(_xlpm.count - 1)))),
  "Dec: " &amp; _xlpm.sum &amp; " | Hex: " &amp; DEC2HEX(_xlpm.sum)
)</f>
        <v>Dec: 1290 | Hex: 50A</v>
      </c>
      <c r="I35" s="2" t="str">
        <f t="shared" si="0"/>
        <v>FE</v>
      </c>
      <c r="J35" s="2" t="b">
        <f t="shared" ref="J35" si="2">I35=AK35</f>
        <v>1</v>
      </c>
      <c r="K35" s="5" t="str" cm="1">
        <f t="array" ref="K35:AK35">_xlfn.TEXTSPLIT(G35, " ")</f>
        <v>02</v>
      </c>
      <c r="L35" s="5" t="str">
        <v>20</v>
      </c>
      <c r="M35" s="5" t="str">
        <v>e0</v>
      </c>
      <c r="N35" s="5" t="str">
        <v>04</v>
      </c>
      <c r="O35" s="5" t="str">
        <v>00</v>
      </c>
      <c r="P35" s="5" t="str">
        <v>00</v>
      </c>
      <c r="Q35" s="5" t="str">
        <v>00</v>
      </c>
      <c r="R35" s="5" t="str">
        <v>06</v>
      </c>
      <c r="S35" s="5" t="str">
        <v>02</v>
      </c>
      <c r="T35" s="5" t="str">
        <v>20</v>
      </c>
      <c r="U35" s="5" t="str">
        <v>e0</v>
      </c>
      <c r="V35" s="5" t="str">
        <v>04</v>
      </c>
      <c r="W35" s="5" t="str">
        <v>00</v>
      </c>
      <c r="X35" s="5" t="str">
        <v>09</v>
      </c>
      <c r="Y35" s="5" t="str">
        <v>3c</v>
      </c>
      <c r="Z35" s="5" t="str">
        <v>80</v>
      </c>
      <c r="AA35" s="8" t="str">
        <v>af</v>
      </c>
      <c r="AB35" s="5" t="str">
        <v>0d</v>
      </c>
      <c r="AC35" s="5" t="str">
        <v>00</v>
      </c>
      <c r="AD35" s="5" t="str">
        <v>0e</v>
      </c>
      <c r="AE35" s="5" t="str">
        <v>e0</v>
      </c>
      <c r="AF35" s="5" t="str">
        <v>00</v>
      </c>
      <c r="AG35" s="5" t="str">
        <v>00</v>
      </c>
      <c r="AH35" s="5" t="str">
        <v>89</v>
      </c>
      <c r="AI35" s="5" t="str">
        <v>00</v>
      </c>
      <c r="AJ35" s="5" t="str">
        <v>00</v>
      </c>
      <c r="AK35" s="5" t="str">
        <v>fe</v>
      </c>
    </row>
    <row r="36" spans="1:37" ht="23" customHeight="1" x14ac:dyDescent="0.3">
      <c r="A36" s="2" t="s">
        <v>1</v>
      </c>
      <c r="B36" s="2">
        <v>1</v>
      </c>
      <c r="C36" s="2">
        <v>30</v>
      </c>
      <c r="D36" s="2" t="s">
        <v>3</v>
      </c>
      <c r="E36" s="2" t="s">
        <v>3</v>
      </c>
      <c r="F36" s="3" t="s">
        <v>71</v>
      </c>
      <c r="G36" s="2" t="s">
        <v>72</v>
      </c>
      <c r="H36" s="2" t="str" cm="1">
        <f t="array" ref="H36">_xlfn.LET(
  _xlpm.parts, _xlfn.TEXTSPLIT(G36, " "),
  _xlpm.count, COUNTA(_xlpm.parts),
  _xlpm.sum, SUM(--HEX2DEC(INDEX(_xlpm.parts, _xlfn.SEQUENCE(_xlpm.count - 1)))),
  "Dec: " &amp; _xlpm.sum &amp; " | Hex: " &amp; DEC2HEX(_xlpm.sum)
)</f>
        <v>Dec: 1178 | Hex: 49A</v>
      </c>
      <c r="I36" s="2" t="str">
        <f t="shared" si="0"/>
        <v>8E</v>
      </c>
      <c r="J36" s="2" t="b">
        <f t="shared" ref="J36:J40" si="3">I36=AK36</f>
        <v>1</v>
      </c>
      <c r="K36" s="5" t="str" cm="1">
        <f t="array" ref="K36:AK36">_xlfn.TEXTSPLIT(G36, " ")</f>
        <v>02</v>
      </c>
      <c r="L36" s="5" t="str">
        <v>20</v>
      </c>
      <c r="M36" s="5" t="str">
        <v>e0</v>
      </c>
      <c r="N36" s="5" t="str">
        <v>04</v>
      </c>
      <c r="O36" s="5" t="str">
        <v>00</v>
      </c>
      <c r="P36" s="5" t="str">
        <v>00</v>
      </c>
      <c r="Q36" s="5" t="str">
        <v>00</v>
      </c>
      <c r="R36" s="5" t="str">
        <v>06</v>
      </c>
      <c r="S36" s="5" t="str">
        <v>02</v>
      </c>
      <c r="T36" s="5" t="str">
        <v>20</v>
      </c>
      <c r="U36" s="5" t="str">
        <v>e0</v>
      </c>
      <c r="V36" s="5" t="str">
        <v>04</v>
      </c>
      <c r="W36" s="5" t="str">
        <v>00</v>
      </c>
      <c r="X36" s="5" t="str">
        <v>09</v>
      </c>
      <c r="Y36" s="5" t="str">
        <v>3c</v>
      </c>
      <c r="Z36" s="5" t="str">
        <v>80</v>
      </c>
      <c r="AA36" s="8" t="str">
        <v>3f</v>
      </c>
      <c r="AB36" s="5" t="str">
        <v>0d</v>
      </c>
      <c r="AC36" s="5" t="str">
        <v>00</v>
      </c>
      <c r="AD36" s="5" t="str">
        <v>0e</v>
      </c>
      <c r="AE36" s="5" t="str">
        <v>e0</v>
      </c>
      <c r="AF36" s="5" t="str">
        <v>00</v>
      </c>
      <c r="AG36" s="5" t="str">
        <v>00</v>
      </c>
      <c r="AH36" s="5" t="str">
        <v>89</v>
      </c>
      <c r="AI36" s="5" t="str">
        <v>00</v>
      </c>
      <c r="AJ36" s="5" t="str">
        <v>00</v>
      </c>
      <c r="AK36" s="5" t="str">
        <v>8e</v>
      </c>
    </row>
    <row r="37" spans="1:37" ht="23" customHeight="1" x14ac:dyDescent="0.3">
      <c r="A37" s="2" t="s">
        <v>1</v>
      </c>
      <c r="B37" s="2">
        <v>2</v>
      </c>
      <c r="C37" s="2">
        <v>30</v>
      </c>
      <c r="D37" s="2" t="s">
        <v>3</v>
      </c>
      <c r="E37" s="2" t="s">
        <v>3</v>
      </c>
      <c r="F37" s="3" t="s">
        <v>73</v>
      </c>
      <c r="G37" s="2" t="s">
        <v>74</v>
      </c>
      <c r="H37" s="2" t="str" cm="1">
        <f t="array" ref="H37">_xlfn.LET(
  _xlpm.parts, _xlfn.TEXTSPLIT(G37, " "),
  _xlpm.count, COUNTA(_xlpm.parts),
  _xlpm.sum, SUM(--HEX2DEC(INDEX(_xlpm.parts, _xlfn.SEQUENCE(_xlpm.count - 1)))),
  "Dec: " &amp; _xlpm.sum &amp; " | Hex: " &amp; DEC2HEX(_xlpm.sum)
)</f>
        <v>Dec: 1194 | Hex: 4AA</v>
      </c>
      <c r="I37" s="2" t="str">
        <f t="shared" si="0"/>
        <v>9E</v>
      </c>
      <c r="J37" s="2" t="b">
        <f t="shared" si="3"/>
        <v>1</v>
      </c>
      <c r="K37" s="5" t="str" cm="1">
        <f t="array" ref="K37:AK37">_xlfn.TEXTSPLIT(G37, " ")</f>
        <v>02</v>
      </c>
      <c r="L37" s="5" t="str">
        <v>20</v>
      </c>
      <c r="M37" s="5" t="str">
        <v>e0</v>
      </c>
      <c r="N37" s="5" t="str">
        <v>04</v>
      </c>
      <c r="O37" s="5" t="str">
        <v>00</v>
      </c>
      <c r="P37" s="5" t="str">
        <v>00</v>
      </c>
      <c r="Q37" s="5" t="str">
        <v>00</v>
      </c>
      <c r="R37" s="5" t="str">
        <v>06</v>
      </c>
      <c r="S37" s="5" t="str">
        <v>02</v>
      </c>
      <c r="T37" s="5" t="str">
        <v>20</v>
      </c>
      <c r="U37" s="5" t="str">
        <v>e0</v>
      </c>
      <c r="V37" s="5" t="str">
        <v>04</v>
      </c>
      <c r="W37" s="5" t="str">
        <v>00</v>
      </c>
      <c r="X37" s="5" t="str">
        <v>09</v>
      </c>
      <c r="Y37" s="5" t="str">
        <v>3c</v>
      </c>
      <c r="Z37" s="5" t="str">
        <v>80</v>
      </c>
      <c r="AA37" s="8" t="str">
        <v>4f</v>
      </c>
      <c r="AB37" s="5" t="str">
        <v>0d</v>
      </c>
      <c r="AC37" s="5" t="str">
        <v>00</v>
      </c>
      <c r="AD37" s="5" t="str">
        <v>0e</v>
      </c>
      <c r="AE37" s="5" t="str">
        <v>e0</v>
      </c>
      <c r="AF37" s="5" t="str">
        <v>00</v>
      </c>
      <c r="AG37" s="5" t="str">
        <v>00</v>
      </c>
      <c r="AH37" s="5" t="str">
        <v>89</v>
      </c>
      <c r="AI37" s="5" t="str">
        <v>00</v>
      </c>
      <c r="AJ37" s="5" t="str">
        <v>00</v>
      </c>
      <c r="AK37" s="5" t="str">
        <v>9e</v>
      </c>
    </row>
    <row r="38" spans="1:37" ht="23" customHeight="1" x14ac:dyDescent="0.3">
      <c r="A38" s="2" t="s">
        <v>1</v>
      </c>
      <c r="B38" s="2">
        <v>3</v>
      </c>
      <c r="C38" s="2">
        <v>30</v>
      </c>
      <c r="D38" s="2" t="s">
        <v>3</v>
      </c>
      <c r="E38" s="2" t="s">
        <v>3</v>
      </c>
      <c r="F38" s="3" t="s">
        <v>75</v>
      </c>
      <c r="G38" s="2" t="s">
        <v>76</v>
      </c>
      <c r="H38" s="2" t="str" cm="1">
        <f t="array" ref="H38">_xlfn.LET(
  _xlpm.parts, _xlfn.TEXTSPLIT(G38, " "),
  _xlpm.count, COUNTA(_xlpm.parts),
  _xlpm.sum, SUM(--HEX2DEC(INDEX(_xlpm.parts, _xlfn.SEQUENCE(_xlpm.count - 1)))),
  "Dec: " &amp; _xlpm.sum &amp; " | Hex: " &amp; DEC2HEX(_xlpm.sum)
)</f>
        <v>Dec: 1210 | Hex: 4BA</v>
      </c>
      <c r="I38" s="2" t="str">
        <f t="shared" si="0"/>
        <v>AE</v>
      </c>
      <c r="J38" s="2" t="b">
        <f t="shared" si="3"/>
        <v>1</v>
      </c>
      <c r="K38" s="5" t="str" cm="1">
        <f t="array" ref="K38:AK38">_xlfn.TEXTSPLIT(G38, " ")</f>
        <v>02</v>
      </c>
      <c r="L38" s="5" t="str">
        <v>20</v>
      </c>
      <c r="M38" s="5" t="str">
        <v>e0</v>
      </c>
      <c r="N38" s="5" t="str">
        <v>04</v>
      </c>
      <c r="O38" s="5" t="str">
        <v>00</v>
      </c>
      <c r="P38" s="5" t="str">
        <v>00</v>
      </c>
      <c r="Q38" s="5" t="str">
        <v>00</v>
      </c>
      <c r="R38" s="5" t="str">
        <v>06</v>
      </c>
      <c r="S38" s="5" t="str">
        <v>02</v>
      </c>
      <c r="T38" s="5" t="str">
        <v>20</v>
      </c>
      <c r="U38" s="5" t="str">
        <v>e0</v>
      </c>
      <c r="V38" s="5" t="str">
        <v>04</v>
      </c>
      <c r="W38" s="5" t="str">
        <v>00</v>
      </c>
      <c r="X38" s="5" t="str">
        <v>09</v>
      </c>
      <c r="Y38" s="5" t="str">
        <v>3c</v>
      </c>
      <c r="Z38" s="5" t="str">
        <v>80</v>
      </c>
      <c r="AA38" s="8" t="str">
        <v>5f</v>
      </c>
      <c r="AB38" s="5" t="str">
        <v>0d</v>
      </c>
      <c r="AC38" s="5" t="str">
        <v>00</v>
      </c>
      <c r="AD38" s="5" t="str">
        <v>0e</v>
      </c>
      <c r="AE38" s="5" t="str">
        <v>e0</v>
      </c>
      <c r="AF38" s="5" t="str">
        <v>00</v>
      </c>
      <c r="AG38" s="5" t="str">
        <v>00</v>
      </c>
      <c r="AH38" s="5" t="str">
        <v>89</v>
      </c>
      <c r="AI38" s="5" t="str">
        <v>00</v>
      </c>
      <c r="AJ38" s="5" t="str">
        <v>00</v>
      </c>
      <c r="AK38" s="5" t="str">
        <v>ae</v>
      </c>
    </row>
    <row r="39" spans="1:37" ht="23" customHeight="1" x14ac:dyDescent="0.3">
      <c r="A39" s="2" t="s">
        <v>1</v>
      </c>
      <c r="B39" s="2">
        <v>4</v>
      </c>
      <c r="C39" s="2">
        <v>30</v>
      </c>
      <c r="D39" s="2" t="s">
        <v>3</v>
      </c>
      <c r="E39" s="2" t="s">
        <v>3</v>
      </c>
      <c r="F39" s="3" t="s">
        <v>77</v>
      </c>
      <c r="G39" s="2" t="s">
        <v>78</v>
      </c>
      <c r="H39" s="2" t="str" cm="1">
        <f t="array" ref="H39">_xlfn.LET(
  _xlpm.parts, _xlfn.TEXTSPLIT(G39, " "),
  _xlpm.count, COUNTA(_xlpm.parts),
  _xlpm.sum, SUM(--HEX2DEC(INDEX(_xlpm.parts, _xlfn.SEQUENCE(_xlpm.count - 1)))),
  "Dec: " &amp; _xlpm.sum &amp; " | Hex: " &amp; DEC2HEX(_xlpm.sum)
)</f>
        <v>Dec: 1226 | Hex: 4CA</v>
      </c>
      <c r="I39" s="2" t="str">
        <f t="shared" si="0"/>
        <v>BE</v>
      </c>
      <c r="J39" s="2" t="b">
        <f t="shared" si="3"/>
        <v>1</v>
      </c>
      <c r="K39" s="5" t="str" cm="1">
        <f t="array" ref="K39:AK39">_xlfn.TEXTSPLIT(G39, " ")</f>
        <v>02</v>
      </c>
      <c r="L39" s="5" t="str">
        <v>20</v>
      </c>
      <c r="M39" s="5" t="str">
        <v>e0</v>
      </c>
      <c r="N39" s="5" t="str">
        <v>04</v>
      </c>
      <c r="O39" s="5" t="str">
        <v>00</v>
      </c>
      <c r="P39" s="5" t="str">
        <v>00</v>
      </c>
      <c r="Q39" s="5" t="str">
        <v>00</v>
      </c>
      <c r="R39" s="5" t="str">
        <v>06</v>
      </c>
      <c r="S39" s="5" t="str">
        <v>02</v>
      </c>
      <c r="T39" s="5" t="str">
        <v>20</v>
      </c>
      <c r="U39" s="5" t="str">
        <v>e0</v>
      </c>
      <c r="V39" s="5" t="str">
        <v>04</v>
      </c>
      <c r="W39" s="5" t="str">
        <v>00</v>
      </c>
      <c r="X39" s="5" t="str">
        <v>09</v>
      </c>
      <c r="Y39" s="5" t="str">
        <v>3c</v>
      </c>
      <c r="Z39" s="5" t="str">
        <v>80</v>
      </c>
      <c r="AA39" s="8" t="str">
        <v>6f</v>
      </c>
      <c r="AB39" s="5" t="str">
        <v>0d</v>
      </c>
      <c r="AC39" s="5" t="str">
        <v>00</v>
      </c>
      <c r="AD39" s="5" t="str">
        <v>0e</v>
      </c>
      <c r="AE39" s="5" t="str">
        <v>e0</v>
      </c>
      <c r="AF39" s="5" t="str">
        <v>00</v>
      </c>
      <c r="AG39" s="5" t="str">
        <v>00</v>
      </c>
      <c r="AH39" s="5" t="str">
        <v>89</v>
      </c>
      <c r="AI39" s="5" t="str">
        <v>00</v>
      </c>
      <c r="AJ39" s="5" t="str">
        <v>00</v>
      </c>
      <c r="AK39" s="5" t="str">
        <v>be</v>
      </c>
    </row>
    <row r="40" spans="1:37" ht="23" customHeight="1" x14ac:dyDescent="0.3">
      <c r="A40" s="2" t="s">
        <v>1</v>
      </c>
      <c r="B40" s="2">
        <v>5</v>
      </c>
      <c r="C40" s="2">
        <v>30</v>
      </c>
      <c r="D40" s="2" t="s">
        <v>3</v>
      </c>
      <c r="E40" s="2" t="s">
        <v>3</v>
      </c>
      <c r="F40" s="3" t="s">
        <v>79</v>
      </c>
      <c r="G40" s="2" t="s">
        <v>80</v>
      </c>
      <c r="H40" s="2" t="str" cm="1">
        <f t="array" ref="H40">_xlfn.LET(
  _xlpm.parts, _xlfn.TEXTSPLIT(G40, " "),
  _xlpm.count, COUNTA(_xlpm.parts),
  _xlpm.sum, SUM(--HEX2DEC(INDEX(_xlpm.parts, _xlfn.SEQUENCE(_xlpm.count - 1)))),
  "Dec: " &amp; _xlpm.sum &amp; " | Hex: " &amp; DEC2HEX(_xlpm.sum)
)</f>
        <v>Dec: 1242 | Hex: 4DA</v>
      </c>
      <c r="I40" s="2" t="str">
        <f t="shared" si="0"/>
        <v>CE</v>
      </c>
      <c r="J40" s="2" t="b">
        <f t="shared" si="3"/>
        <v>1</v>
      </c>
      <c r="K40" s="5" t="str" cm="1">
        <f t="array" ref="K40:AK40">_xlfn.TEXTSPLIT(G40, " ")</f>
        <v>02</v>
      </c>
      <c r="L40" s="5" t="str">
        <v>20</v>
      </c>
      <c r="M40" s="5" t="str">
        <v>e0</v>
      </c>
      <c r="N40" s="5" t="str">
        <v>04</v>
      </c>
      <c r="O40" s="5" t="str">
        <v>00</v>
      </c>
      <c r="P40" s="5" t="str">
        <v>00</v>
      </c>
      <c r="Q40" s="5" t="str">
        <v>00</v>
      </c>
      <c r="R40" s="5" t="str">
        <v>06</v>
      </c>
      <c r="S40" s="5" t="str">
        <v>02</v>
      </c>
      <c r="T40" s="5" t="str">
        <v>20</v>
      </c>
      <c r="U40" s="5" t="str">
        <v>e0</v>
      </c>
      <c r="V40" s="5" t="str">
        <v>04</v>
      </c>
      <c r="W40" s="5" t="str">
        <v>00</v>
      </c>
      <c r="X40" s="5" t="str">
        <v>09</v>
      </c>
      <c r="Y40" s="5" t="str">
        <v>3c</v>
      </c>
      <c r="Z40" s="5" t="str">
        <v>80</v>
      </c>
      <c r="AA40" s="8" t="str">
        <v>7f</v>
      </c>
      <c r="AB40" s="5" t="str">
        <v>0d</v>
      </c>
      <c r="AC40" s="5" t="str">
        <v>00</v>
      </c>
      <c r="AD40" s="5" t="str">
        <v>0e</v>
      </c>
      <c r="AE40" s="5" t="str">
        <v>e0</v>
      </c>
      <c r="AF40" s="5" t="str">
        <v>00</v>
      </c>
      <c r="AG40" s="5" t="str">
        <v>00</v>
      </c>
      <c r="AH40" s="5" t="str">
        <v>89</v>
      </c>
      <c r="AI40" s="5" t="str">
        <v>00</v>
      </c>
      <c r="AJ40" s="5" t="str">
        <v>00</v>
      </c>
      <c r="AK40" s="5" t="str">
        <v>ce</v>
      </c>
    </row>
    <row r="42" spans="1:37" ht="23" customHeight="1" x14ac:dyDescent="0.3">
      <c r="A42" s="2" t="s">
        <v>1</v>
      </c>
      <c r="B42" s="2" t="s">
        <v>8</v>
      </c>
      <c r="C42" s="2">
        <v>30</v>
      </c>
      <c r="D42" s="2" t="s">
        <v>3</v>
      </c>
      <c r="E42" s="2" t="s">
        <v>3</v>
      </c>
      <c r="F42" s="3" t="s">
        <v>82</v>
      </c>
      <c r="G42" s="2" t="s">
        <v>81</v>
      </c>
      <c r="H42" s="2" t="str" cm="1">
        <f t="array" ref="H42">_xlfn.LET(
  _xlpm.parts, _xlfn.TEXTSPLIT(G42, " "),
  _xlpm.count, COUNTA(_xlpm.parts),
  _xlpm.sum, SUM(--HEX2DEC(INDEX(_xlpm.parts, _xlfn.SEQUENCE(_xlpm.count - 1)))),
  "Dec: " &amp; _xlpm.sum &amp; " | Hex: " &amp; DEC2HEX(_xlpm.sum)
)</f>
        <v>Dec: 1291 | Hex: 50B</v>
      </c>
      <c r="I42" s="2" t="str">
        <f t="shared" si="0"/>
        <v>FF</v>
      </c>
      <c r="J42" s="2" t="b">
        <f t="shared" ref="J42:J43" si="4">I42=AK42</f>
        <v>1</v>
      </c>
      <c r="K42" s="5" t="str" cm="1">
        <f t="array" ref="K42:AK42">_xlfn.TEXTSPLIT(G42, " ")</f>
        <v>02</v>
      </c>
      <c r="L42" s="5" t="str">
        <v>20</v>
      </c>
      <c r="M42" s="5" t="str">
        <v>e0</v>
      </c>
      <c r="N42" s="5" t="str">
        <v>04</v>
      </c>
      <c r="O42" s="5" t="str">
        <v>00</v>
      </c>
      <c r="P42" s="5" t="str">
        <v>00</v>
      </c>
      <c r="Q42" s="5" t="str">
        <v>00</v>
      </c>
      <c r="R42" s="5" t="str">
        <v>06</v>
      </c>
      <c r="S42" s="5" t="str">
        <v>02</v>
      </c>
      <c r="T42" s="5" t="str">
        <v>20</v>
      </c>
      <c r="U42" s="5" t="str">
        <v>e0</v>
      </c>
      <c r="V42" s="5" t="str">
        <v>04</v>
      </c>
      <c r="W42" s="5" t="str">
        <v>00</v>
      </c>
      <c r="X42" s="5" t="str">
        <v>09</v>
      </c>
      <c r="Y42" s="5" t="str">
        <v>3c</v>
      </c>
      <c r="Z42" s="5" t="str">
        <v>80</v>
      </c>
      <c r="AA42" s="5" t="str">
        <v>af</v>
      </c>
      <c r="AB42" s="5" t="str">
        <v>0d</v>
      </c>
      <c r="AC42" s="5" t="str">
        <v>00</v>
      </c>
      <c r="AD42" s="5" t="str">
        <v>0e</v>
      </c>
      <c r="AE42" s="5" t="str">
        <v>e0</v>
      </c>
      <c r="AF42" s="8" t="str">
        <v>01</v>
      </c>
      <c r="AG42" s="5" t="str">
        <v>00</v>
      </c>
      <c r="AH42" s="5" t="str">
        <v>89</v>
      </c>
      <c r="AI42" s="5" t="str">
        <v>00</v>
      </c>
      <c r="AJ42" s="5" t="str">
        <v>00</v>
      </c>
      <c r="AK42" s="5" t="str">
        <v>ff</v>
      </c>
    </row>
    <row r="43" spans="1:37" ht="23" customHeight="1" x14ac:dyDescent="0.3">
      <c r="A43" s="2" t="s">
        <v>1</v>
      </c>
      <c r="B43" s="2" t="s">
        <v>405</v>
      </c>
      <c r="C43" s="2">
        <v>30</v>
      </c>
      <c r="D43" s="2" t="s">
        <v>3</v>
      </c>
      <c r="E43" s="2" t="s">
        <v>3</v>
      </c>
      <c r="F43" s="3" t="s">
        <v>83</v>
      </c>
      <c r="G43" s="2" t="s">
        <v>84</v>
      </c>
      <c r="H43" s="2" t="str" cm="1">
        <f t="array" ref="H43">_xlfn.LET(
  _xlpm.parts, _xlfn.TEXTSPLIT(G43, " "),
  _xlpm.count, COUNTA(_xlpm.parts),
  _xlpm.sum, SUM(--HEX2DEC(INDEX(_xlpm.parts, _xlfn.SEQUENCE(_xlpm.count - 1)))),
  "Dec: " &amp; _xlpm.sum &amp; " | Hex: " &amp; DEC2HEX(_xlpm.sum)
)</f>
        <v>Dec: 1322 | Hex: 52A</v>
      </c>
      <c r="I43" s="2" t="str">
        <f t="shared" si="0"/>
        <v>1E</v>
      </c>
      <c r="J43" s="2" t="b">
        <f t="shared" si="4"/>
        <v>1</v>
      </c>
      <c r="K43" s="5" t="str" cm="1">
        <f t="array" ref="K43:AK43">_xlfn.TEXTSPLIT(G43, " ")</f>
        <v>02</v>
      </c>
      <c r="L43" s="5" t="str">
        <v>20</v>
      </c>
      <c r="M43" s="5" t="str">
        <v>e0</v>
      </c>
      <c r="N43" s="5" t="str">
        <v>04</v>
      </c>
      <c r="O43" s="5" t="str">
        <v>00</v>
      </c>
      <c r="P43" s="5" t="str">
        <v>00</v>
      </c>
      <c r="Q43" s="5" t="str">
        <v>00</v>
      </c>
      <c r="R43" s="5" t="str">
        <v>06</v>
      </c>
      <c r="S43" s="5" t="str">
        <v>02</v>
      </c>
      <c r="T43" s="5" t="str">
        <v>20</v>
      </c>
      <c r="U43" s="5" t="str">
        <v>e0</v>
      </c>
      <c r="V43" s="5" t="str">
        <v>04</v>
      </c>
      <c r="W43" s="5" t="str">
        <v>00</v>
      </c>
      <c r="X43" s="5" t="str">
        <v>09</v>
      </c>
      <c r="Y43" s="5" t="str">
        <v>3c</v>
      </c>
      <c r="Z43" s="5" t="str">
        <v>80</v>
      </c>
      <c r="AA43" s="5" t="str">
        <v>af</v>
      </c>
      <c r="AB43" s="5" t="str">
        <v>0d</v>
      </c>
      <c r="AC43" s="5" t="str">
        <v>00</v>
      </c>
      <c r="AD43" s="5" t="str">
        <v>0e</v>
      </c>
      <c r="AE43" s="5" t="str">
        <v>e0</v>
      </c>
      <c r="AF43" s="8" t="str">
        <v>20</v>
      </c>
      <c r="AG43" s="5" t="str">
        <v>00</v>
      </c>
      <c r="AH43" s="5" t="str">
        <v>89</v>
      </c>
      <c r="AI43" s="5" t="str">
        <v>00</v>
      </c>
      <c r="AJ43" s="5" t="str">
        <v>00</v>
      </c>
      <c r="AK43" s="5" t="str">
        <v>1e</v>
      </c>
    </row>
    <row r="45" spans="1:37" ht="23" customHeight="1" x14ac:dyDescent="0.3">
      <c r="A45" s="2" t="s">
        <v>10</v>
      </c>
      <c r="B45" s="2" t="s">
        <v>5</v>
      </c>
      <c r="C45" s="2">
        <v>30</v>
      </c>
      <c r="D45" s="2" t="s">
        <v>3</v>
      </c>
      <c r="E45" s="2" t="s">
        <v>3</v>
      </c>
      <c r="F45" s="3" t="s">
        <v>91</v>
      </c>
      <c r="G45" s="4" t="s">
        <v>69</v>
      </c>
      <c r="H45" s="2" t="str" cm="1">
        <f t="array" ref="H45">_xlfn.LET(
  _xlpm.parts, _xlfn.TEXTSPLIT(G45, " "),
  _xlpm.count, COUNTA(_xlpm.parts),
  _xlpm.sum, SUM(--HEX2DEC(INDEX(_xlpm.parts, _xlfn.SEQUENCE(_xlpm.count - 1)))),
  "Dec: " &amp; _xlpm.sum &amp; " | Hex: " &amp; DEC2HEX(_xlpm.sum)
)</f>
        <v>Dec: 1290 | Hex: 50A</v>
      </c>
      <c r="I45" s="2" t="str">
        <f t="shared" si="0"/>
        <v>FE</v>
      </c>
      <c r="J45" s="2" t="b">
        <f t="shared" ref="J45:J50" si="5">I45=AK45</f>
        <v>1</v>
      </c>
      <c r="K45" s="5" t="str" cm="1">
        <f t="array" ref="K45:AK45">_xlfn.TEXTSPLIT(G45, " ")</f>
        <v>02</v>
      </c>
      <c r="L45" s="5" t="str">
        <v>20</v>
      </c>
      <c r="M45" s="5" t="str">
        <v>e0</v>
      </c>
      <c r="N45" s="5" t="str">
        <v>04</v>
      </c>
      <c r="O45" s="5" t="str">
        <v>00</v>
      </c>
      <c r="P45" s="5" t="str">
        <v>00</v>
      </c>
      <c r="Q45" s="5" t="str">
        <v>00</v>
      </c>
      <c r="R45" s="5" t="str">
        <v>06</v>
      </c>
      <c r="S45" s="5" t="str">
        <v>02</v>
      </c>
      <c r="T45" s="5" t="str">
        <v>20</v>
      </c>
      <c r="U45" s="5" t="str">
        <v>e0</v>
      </c>
      <c r="V45" s="5" t="str">
        <v>04</v>
      </c>
      <c r="W45" s="5" t="str">
        <v>00</v>
      </c>
      <c r="X45" s="5" t="str">
        <v>09</v>
      </c>
      <c r="Y45" s="5" t="str">
        <v>3c</v>
      </c>
      <c r="Z45" s="5" t="str">
        <v>80</v>
      </c>
      <c r="AA45" s="5" t="str">
        <v>af</v>
      </c>
      <c r="AB45" s="8" t="str">
        <v>0d</v>
      </c>
      <c r="AC45" s="5" t="str">
        <v>00</v>
      </c>
      <c r="AD45" s="5" t="str">
        <v>0e</v>
      </c>
      <c r="AE45" s="5" t="str">
        <v>e0</v>
      </c>
      <c r="AF45" s="5" t="str">
        <v>00</v>
      </c>
      <c r="AG45" s="5" t="str">
        <v>00</v>
      </c>
      <c r="AH45" s="5" t="str">
        <v>89</v>
      </c>
      <c r="AI45" s="5" t="str">
        <v>00</v>
      </c>
      <c r="AJ45" s="5" t="str">
        <v>00</v>
      </c>
      <c r="AK45" s="5" t="str">
        <v>fe</v>
      </c>
    </row>
    <row r="46" spans="1:37" ht="23" customHeight="1" x14ac:dyDescent="0.3">
      <c r="A46" s="2" t="s">
        <v>10</v>
      </c>
      <c r="B46" s="2" t="s">
        <v>5</v>
      </c>
      <c r="C46" s="2">
        <v>30</v>
      </c>
      <c r="D46" s="2">
        <v>1</v>
      </c>
      <c r="E46" s="2" t="s">
        <v>3</v>
      </c>
      <c r="F46" s="3" t="s">
        <v>92</v>
      </c>
      <c r="G46" s="2" t="s">
        <v>93</v>
      </c>
      <c r="H46" s="2" t="str" cm="1">
        <f t="array" ref="H46">_xlfn.LET(
  _xlpm.parts, _xlfn.TEXTSPLIT(G46, " "),
  _xlpm.count, COUNTA(_xlpm.parts),
  _xlpm.sum, SUM(--HEX2DEC(INDEX(_xlpm.parts, _xlfn.SEQUENCE(_xlpm.count - 1)))),
  "Dec: " &amp; _xlpm.sum &amp; " | Hex: " &amp; DEC2HEX(_xlpm.sum)
)</f>
        <v>Dec: 1283 | Hex: 503</v>
      </c>
      <c r="I46" s="2" t="str">
        <f t="shared" si="0"/>
        <v>F7</v>
      </c>
      <c r="J46" s="2" t="b">
        <f t="shared" si="5"/>
        <v>1</v>
      </c>
      <c r="K46" s="5" t="str" cm="1">
        <f t="array" ref="K46:AK46">_xlfn.TEXTSPLIT(G46, " ")</f>
        <v>02</v>
      </c>
      <c r="L46" s="5" t="str">
        <v>20</v>
      </c>
      <c r="M46" s="5" t="str">
        <v>e0</v>
      </c>
      <c r="N46" s="5" t="str">
        <v>04</v>
      </c>
      <c r="O46" s="5" t="str">
        <v>00</v>
      </c>
      <c r="P46" s="5" t="str">
        <v>00</v>
      </c>
      <c r="Q46" s="5" t="str">
        <v>00</v>
      </c>
      <c r="R46" s="5" t="str">
        <v>06</v>
      </c>
      <c r="S46" s="5" t="str">
        <v>02</v>
      </c>
      <c r="T46" s="5" t="str">
        <v>20</v>
      </c>
      <c r="U46" s="5" t="str">
        <v>e0</v>
      </c>
      <c r="V46" s="5" t="str">
        <v>04</v>
      </c>
      <c r="W46" s="5" t="str">
        <v>00</v>
      </c>
      <c r="X46" s="5" t="str">
        <v>09</v>
      </c>
      <c r="Y46" s="5" t="str">
        <v>3c</v>
      </c>
      <c r="Z46" s="5" t="str">
        <v>80</v>
      </c>
      <c r="AA46" s="5" t="str">
        <v>af</v>
      </c>
      <c r="AB46" s="8" t="str">
        <v>06</v>
      </c>
      <c r="AC46" s="5" t="str">
        <v>00</v>
      </c>
      <c r="AD46" s="5" t="str">
        <v>0e</v>
      </c>
      <c r="AE46" s="5" t="str">
        <v>e0</v>
      </c>
      <c r="AF46" s="5" t="str">
        <v>00</v>
      </c>
      <c r="AG46" s="5" t="str">
        <v>00</v>
      </c>
      <c r="AH46" s="5" t="str">
        <v>89</v>
      </c>
      <c r="AI46" s="5" t="str">
        <v>00</v>
      </c>
      <c r="AJ46" s="5" t="str">
        <v>00</v>
      </c>
      <c r="AK46" s="5" t="str">
        <v>f7</v>
      </c>
    </row>
    <row r="47" spans="1:37" ht="23" customHeight="1" x14ac:dyDescent="0.3">
      <c r="A47" s="2" t="s">
        <v>10</v>
      </c>
      <c r="B47" s="2" t="s">
        <v>5</v>
      </c>
      <c r="C47" s="2">
        <v>30</v>
      </c>
      <c r="D47" s="2">
        <v>2</v>
      </c>
      <c r="E47" s="2" t="s">
        <v>3</v>
      </c>
      <c r="F47" s="3" t="s">
        <v>85</v>
      </c>
      <c r="G47" s="2" t="s">
        <v>86</v>
      </c>
      <c r="H47" s="2" t="str" cm="1">
        <f t="array" ref="H47">_xlfn.LET(
  _xlpm.parts, _xlfn.TEXTSPLIT(G47, " "),
  _xlpm.count, COUNTA(_xlpm.parts),
  _xlpm.sum, SUM(--HEX2DEC(INDEX(_xlpm.parts, _xlfn.SEQUENCE(_xlpm.count - 1)))),
  "Dec: " &amp; _xlpm.sum &amp; " | Hex: " &amp; DEC2HEX(_xlpm.sum)
)</f>
        <v>Dec: 1286 | Hex: 506</v>
      </c>
      <c r="I47" s="2" t="str">
        <f t="shared" si="0"/>
        <v>FA</v>
      </c>
      <c r="J47" s="2" t="b">
        <f t="shared" si="5"/>
        <v>1</v>
      </c>
      <c r="K47" s="5" t="str" cm="1">
        <f t="array" ref="K47:AK47">_xlfn.TEXTSPLIT(G47, " ")</f>
        <v>02</v>
      </c>
      <c r="L47" s="5" t="str">
        <v>20</v>
      </c>
      <c r="M47" s="5" t="str">
        <v>e0</v>
      </c>
      <c r="N47" s="5" t="str">
        <v>04</v>
      </c>
      <c r="O47" s="5" t="str">
        <v>00</v>
      </c>
      <c r="P47" s="5" t="str">
        <v>00</v>
      </c>
      <c r="Q47" s="5" t="str">
        <v>00</v>
      </c>
      <c r="R47" s="5" t="str">
        <v>06</v>
      </c>
      <c r="S47" s="5" t="str">
        <v>02</v>
      </c>
      <c r="T47" s="5" t="str">
        <v>20</v>
      </c>
      <c r="U47" s="5" t="str">
        <v>e0</v>
      </c>
      <c r="V47" s="5" t="str">
        <v>04</v>
      </c>
      <c r="W47" s="5" t="str">
        <v>00</v>
      </c>
      <c r="X47" s="5" t="str">
        <v>09</v>
      </c>
      <c r="Y47" s="5" t="str">
        <v>3c</v>
      </c>
      <c r="Z47" s="5" t="str">
        <v>80</v>
      </c>
      <c r="AA47" s="5" t="str">
        <v>af</v>
      </c>
      <c r="AB47" s="8" t="str">
        <v>09</v>
      </c>
      <c r="AC47" s="5" t="str">
        <v>00</v>
      </c>
      <c r="AD47" s="5" t="str">
        <v>0e</v>
      </c>
      <c r="AE47" s="5" t="str">
        <v>e0</v>
      </c>
      <c r="AF47" s="5" t="str">
        <v>00</v>
      </c>
      <c r="AG47" s="5" t="str">
        <v>00</v>
      </c>
      <c r="AH47" s="5" t="str">
        <v>89</v>
      </c>
      <c r="AI47" s="5" t="str">
        <v>00</v>
      </c>
      <c r="AJ47" s="5" t="str">
        <v>00</v>
      </c>
      <c r="AK47" s="5" t="str">
        <v>fa</v>
      </c>
    </row>
    <row r="48" spans="1:37" ht="23" customHeight="1" x14ac:dyDescent="0.3">
      <c r="A48" s="2" t="s">
        <v>10</v>
      </c>
      <c r="B48" s="2" t="s">
        <v>5</v>
      </c>
      <c r="C48" s="2">
        <v>30</v>
      </c>
      <c r="D48" s="2">
        <v>3</v>
      </c>
      <c r="E48" s="2" t="s">
        <v>3</v>
      </c>
      <c r="F48" s="3" t="s">
        <v>87</v>
      </c>
      <c r="G48" s="2" t="s">
        <v>88</v>
      </c>
      <c r="H48" s="2" t="str" cm="1">
        <f t="array" ref="H48">_xlfn.LET(
  _xlpm.parts, _xlfn.TEXTSPLIT(G48, " "),
  _xlpm.count, COUNTA(_xlpm.parts),
  _xlpm.sum, SUM(--HEX2DEC(INDEX(_xlpm.parts, _xlfn.SEQUENCE(_xlpm.count - 1)))),
  "Dec: " &amp; _xlpm.sum &amp; " | Hex: " &amp; DEC2HEX(_xlpm.sum)
)</f>
        <v>Dec: 1287 | Hex: 507</v>
      </c>
      <c r="I48" s="2" t="str">
        <f t="shared" si="0"/>
        <v>FB</v>
      </c>
      <c r="J48" s="2" t="b">
        <f t="shared" si="5"/>
        <v>1</v>
      </c>
      <c r="K48" s="5" t="str" cm="1">
        <f t="array" ref="K48:AK48">_xlfn.TEXTSPLIT(G48, " ")</f>
        <v>02</v>
      </c>
      <c r="L48" s="5" t="str">
        <v>20</v>
      </c>
      <c r="M48" s="5" t="str">
        <v>e0</v>
      </c>
      <c r="N48" s="5" t="str">
        <v>04</v>
      </c>
      <c r="O48" s="5" t="str">
        <v>00</v>
      </c>
      <c r="P48" s="5" t="str">
        <v>00</v>
      </c>
      <c r="Q48" s="5" t="str">
        <v>00</v>
      </c>
      <c r="R48" s="5" t="str">
        <v>06</v>
      </c>
      <c r="S48" s="5" t="str">
        <v>02</v>
      </c>
      <c r="T48" s="5" t="str">
        <v>20</v>
      </c>
      <c r="U48" s="5" t="str">
        <v>e0</v>
      </c>
      <c r="V48" s="5" t="str">
        <v>04</v>
      </c>
      <c r="W48" s="5" t="str">
        <v>00</v>
      </c>
      <c r="X48" s="5" t="str">
        <v>09</v>
      </c>
      <c r="Y48" s="5" t="str">
        <v>3c</v>
      </c>
      <c r="Z48" s="5" t="str">
        <v>80</v>
      </c>
      <c r="AA48" s="5" t="str">
        <v>af</v>
      </c>
      <c r="AB48" s="8" t="str">
        <v>0a</v>
      </c>
      <c r="AC48" s="5" t="str">
        <v>00</v>
      </c>
      <c r="AD48" s="5" t="str">
        <v>0e</v>
      </c>
      <c r="AE48" s="5" t="str">
        <v>e0</v>
      </c>
      <c r="AF48" s="5" t="str">
        <v>00</v>
      </c>
      <c r="AG48" s="5" t="str">
        <v>00</v>
      </c>
      <c r="AH48" s="5" t="str">
        <v>89</v>
      </c>
      <c r="AI48" s="5" t="str">
        <v>00</v>
      </c>
      <c r="AJ48" s="5" t="str">
        <v>00</v>
      </c>
      <c r="AK48" s="5" t="str">
        <v>fb</v>
      </c>
    </row>
    <row r="49" spans="1:37" ht="23" customHeight="1" x14ac:dyDescent="0.3">
      <c r="A49" s="2" t="s">
        <v>10</v>
      </c>
      <c r="B49" s="2" t="s">
        <v>5</v>
      </c>
      <c r="C49" s="2">
        <v>30</v>
      </c>
      <c r="D49" s="2">
        <v>4</v>
      </c>
      <c r="E49" s="2" t="s">
        <v>3</v>
      </c>
      <c r="F49" s="3" t="s">
        <v>89</v>
      </c>
      <c r="G49" s="2" t="s">
        <v>90</v>
      </c>
      <c r="H49" s="2" t="str" cm="1">
        <f t="array" ref="H49">_xlfn.LET(
  _xlpm.parts, _xlfn.TEXTSPLIT(G49, " "),
  _xlpm.count, COUNTA(_xlpm.parts),
  _xlpm.sum, SUM(--HEX2DEC(INDEX(_xlpm.parts, _xlfn.SEQUENCE(_xlpm.count - 1)))),
  "Dec: " &amp; _xlpm.sum &amp; " | Hex: " &amp; DEC2HEX(_xlpm.sum)
)</f>
        <v>Dec: 1288 | Hex: 508</v>
      </c>
      <c r="I49" s="2" t="str">
        <f t="shared" si="0"/>
        <v>FC</v>
      </c>
      <c r="J49" s="2" t="b">
        <f t="shared" si="5"/>
        <v>1</v>
      </c>
      <c r="K49" s="5" t="str" cm="1">
        <f t="array" ref="K49:AK49">_xlfn.TEXTSPLIT(G49, " ")</f>
        <v>02</v>
      </c>
      <c r="L49" s="5" t="str">
        <v>20</v>
      </c>
      <c r="M49" s="5" t="str">
        <v>e0</v>
      </c>
      <c r="N49" s="5" t="str">
        <v>04</v>
      </c>
      <c r="O49" s="5" t="str">
        <v>00</v>
      </c>
      <c r="P49" s="5" t="str">
        <v>00</v>
      </c>
      <c r="Q49" s="5" t="str">
        <v>00</v>
      </c>
      <c r="R49" s="5" t="str">
        <v>06</v>
      </c>
      <c r="S49" s="5" t="str">
        <v>02</v>
      </c>
      <c r="T49" s="5" t="str">
        <v>20</v>
      </c>
      <c r="U49" s="5" t="str">
        <v>e0</v>
      </c>
      <c r="V49" s="5" t="str">
        <v>04</v>
      </c>
      <c r="W49" s="5" t="str">
        <v>00</v>
      </c>
      <c r="X49" s="5" t="str">
        <v>09</v>
      </c>
      <c r="Y49" s="5" t="str">
        <v>3c</v>
      </c>
      <c r="Z49" s="5" t="str">
        <v>80</v>
      </c>
      <c r="AA49" s="5" t="str">
        <v>af</v>
      </c>
      <c r="AB49" s="8" t="str">
        <v>0b</v>
      </c>
      <c r="AC49" s="5" t="str">
        <v>00</v>
      </c>
      <c r="AD49" s="5" t="str">
        <v>0e</v>
      </c>
      <c r="AE49" s="5" t="str">
        <v>e0</v>
      </c>
      <c r="AF49" s="5" t="str">
        <v>00</v>
      </c>
      <c r="AG49" s="5" t="str">
        <v>00</v>
      </c>
      <c r="AH49" s="5" t="str">
        <v>89</v>
      </c>
      <c r="AI49" s="5" t="str">
        <v>00</v>
      </c>
      <c r="AJ49" s="5" t="str">
        <v>00</v>
      </c>
      <c r="AK49" s="5" t="str">
        <v>fc</v>
      </c>
    </row>
    <row r="50" spans="1:37" ht="23" customHeight="1" x14ac:dyDescent="0.3">
      <c r="A50" s="2" t="s">
        <v>10</v>
      </c>
      <c r="B50" s="2" t="s">
        <v>5</v>
      </c>
      <c r="C50" s="2">
        <v>30</v>
      </c>
      <c r="D50" s="2">
        <v>5</v>
      </c>
      <c r="E50" s="2" t="s">
        <v>3</v>
      </c>
      <c r="F50" s="3" t="s">
        <v>94</v>
      </c>
      <c r="G50" s="2" t="s">
        <v>95</v>
      </c>
      <c r="H50" s="2" t="str" cm="1">
        <f t="array" ref="H50">_xlfn.LET(
  _xlpm.parts, _xlfn.TEXTSPLIT(G50, " "),
  _xlpm.count, COUNTA(_xlpm.parts),
  _xlpm.sum, SUM(--HEX2DEC(INDEX(_xlpm.parts, _xlfn.SEQUENCE(_xlpm.count - 1)))),
  "Dec: " &amp; _xlpm.sum &amp; " | Hex: " &amp; DEC2HEX(_xlpm.sum)
)</f>
        <v>Dec: 1289 | Hex: 509</v>
      </c>
      <c r="I50" s="2" t="str">
        <f t="shared" si="0"/>
        <v>FD</v>
      </c>
      <c r="J50" s="2" t="b">
        <f t="shared" si="5"/>
        <v>1</v>
      </c>
      <c r="K50" s="5" t="str" cm="1">
        <f t="array" ref="K50:AK50">_xlfn.TEXTSPLIT(G50, " ")</f>
        <v>02</v>
      </c>
      <c r="L50" s="5" t="str">
        <v>20</v>
      </c>
      <c r="M50" s="5" t="str">
        <v>e0</v>
      </c>
      <c r="N50" s="5" t="str">
        <v>04</v>
      </c>
      <c r="O50" s="5" t="str">
        <v>00</v>
      </c>
      <c r="P50" s="5" t="str">
        <v>00</v>
      </c>
      <c r="Q50" s="5" t="str">
        <v>00</v>
      </c>
      <c r="R50" s="5" t="str">
        <v>06</v>
      </c>
      <c r="S50" s="5" t="str">
        <v>02</v>
      </c>
      <c r="T50" s="5" t="str">
        <v>20</v>
      </c>
      <c r="U50" s="5" t="str">
        <v>e0</v>
      </c>
      <c r="V50" s="5" t="str">
        <v>04</v>
      </c>
      <c r="W50" s="5" t="str">
        <v>00</v>
      </c>
      <c r="X50" s="5" t="str">
        <v>09</v>
      </c>
      <c r="Y50" s="5" t="str">
        <v>3c</v>
      </c>
      <c r="Z50" s="5" t="str">
        <v>80</v>
      </c>
      <c r="AA50" s="5" t="str">
        <v>af</v>
      </c>
      <c r="AB50" s="8" t="str">
        <v>0c</v>
      </c>
      <c r="AC50" s="5" t="str">
        <v>00</v>
      </c>
      <c r="AD50" s="5" t="str">
        <v>0e</v>
      </c>
      <c r="AE50" s="5" t="str">
        <v>e0</v>
      </c>
      <c r="AF50" s="5" t="str">
        <v>00</v>
      </c>
      <c r="AG50" s="5" t="str">
        <v>00</v>
      </c>
      <c r="AH50" s="5" t="str">
        <v>89</v>
      </c>
      <c r="AI50" s="5" t="str">
        <v>00</v>
      </c>
      <c r="AJ50" s="5" t="str">
        <v>00</v>
      </c>
      <c r="AK50" s="5" t="str">
        <v>fd</v>
      </c>
    </row>
    <row r="51" spans="1:37" ht="23" customHeight="1" x14ac:dyDescent="0.3"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ht="23" customHeight="1" x14ac:dyDescent="0.3">
      <c r="A52" s="2" t="s">
        <v>10</v>
      </c>
      <c r="B52" s="2" t="s">
        <v>5</v>
      </c>
      <c r="C52" s="2">
        <v>30</v>
      </c>
      <c r="D52" s="2" t="s">
        <v>3</v>
      </c>
      <c r="E52" s="2" t="s">
        <v>3</v>
      </c>
      <c r="F52" s="3" t="s">
        <v>106</v>
      </c>
      <c r="G52" s="2" t="s">
        <v>69</v>
      </c>
      <c r="H52" s="2" t="str" cm="1">
        <f t="array" ref="H52">_xlfn.LET(
  _xlpm.parts, _xlfn.TEXTSPLIT(G52, " "),
  _xlpm.count, COUNTA(_xlpm.parts),
  _xlpm.sum, SUM(--HEX2DEC(INDEX(_xlpm.parts, _xlfn.SEQUENCE(_xlpm.count - 1)))),
  "Dec: " &amp; _xlpm.sum &amp; " | Hex: " &amp; DEC2HEX(_xlpm.sum)
)</f>
        <v>Dec: 1290 | Hex: 50A</v>
      </c>
      <c r="I52" s="2" t="str">
        <f t="shared" si="0"/>
        <v>FE</v>
      </c>
      <c r="J52" s="2" t="b">
        <f t="shared" ref="J52:J57" si="6">I52=AK52</f>
        <v>1</v>
      </c>
      <c r="K52" s="5" t="str" cm="1">
        <f t="array" ref="K52:AK52">_xlfn.TEXTSPLIT(G52, " ")</f>
        <v>02</v>
      </c>
      <c r="L52" s="5" t="str">
        <v>20</v>
      </c>
      <c r="M52" s="5" t="str">
        <v>e0</v>
      </c>
      <c r="N52" s="5" t="str">
        <v>04</v>
      </c>
      <c r="O52" s="5" t="str">
        <v>00</v>
      </c>
      <c r="P52" s="5" t="str">
        <v>00</v>
      </c>
      <c r="Q52" s="5" t="str">
        <v>00</v>
      </c>
      <c r="R52" s="5" t="str">
        <v>06</v>
      </c>
      <c r="S52" s="5" t="str">
        <v>02</v>
      </c>
      <c r="T52" s="5" t="str">
        <v>20</v>
      </c>
      <c r="U52" s="5" t="str">
        <v>e0</v>
      </c>
      <c r="V52" s="5" t="str">
        <v>04</v>
      </c>
      <c r="W52" s="5" t="str">
        <v>00</v>
      </c>
      <c r="X52" s="5" t="str">
        <v>09</v>
      </c>
      <c r="Y52" s="5" t="str">
        <v>3c</v>
      </c>
      <c r="Z52" s="5" t="str">
        <v>80</v>
      </c>
      <c r="AA52" s="8" t="str">
        <v>af</v>
      </c>
      <c r="AB52" s="5" t="str">
        <v>0d</v>
      </c>
      <c r="AC52" s="5" t="str">
        <v>00</v>
      </c>
      <c r="AD52" s="5" t="str">
        <v>0e</v>
      </c>
      <c r="AE52" s="5" t="str">
        <v>e0</v>
      </c>
      <c r="AF52" s="5" t="str">
        <v>00</v>
      </c>
      <c r="AG52" s="5" t="str">
        <v>00</v>
      </c>
      <c r="AH52" s="5" t="str">
        <v>89</v>
      </c>
      <c r="AI52" s="5" t="str">
        <v>00</v>
      </c>
      <c r="AJ52" s="5" t="str">
        <v>00</v>
      </c>
      <c r="AK52" s="5" t="str">
        <v>fe</v>
      </c>
    </row>
    <row r="53" spans="1:37" ht="23" customHeight="1" x14ac:dyDescent="0.3">
      <c r="A53" s="2" t="s">
        <v>10</v>
      </c>
      <c r="B53" s="2" t="s">
        <v>5</v>
      </c>
      <c r="C53" s="2">
        <v>30</v>
      </c>
      <c r="D53" s="2" t="s">
        <v>3</v>
      </c>
      <c r="E53" s="2">
        <v>1</v>
      </c>
      <c r="F53" s="3" t="s">
        <v>96</v>
      </c>
      <c r="G53" s="2" t="s">
        <v>97</v>
      </c>
      <c r="H53" s="2" t="str" cm="1">
        <f t="array" ref="H53">_xlfn.LET(
  _xlpm.parts, _xlfn.TEXTSPLIT(G53, " "),
  _xlpm.count, COUNTA(_xlpm.parts),
  _xlpm.sum, SUM(--HEX2DEC(INDEX(_xlpm.parts, _xlfn.SEQUENCE(_xlpm.count - 1)))),
  "Dec: " &amp; _xlpm.sum &amp; " | Hex: " &amp; DEC2HEX(_xlpm.sum)
)</f>
        <v>Dec: 1276 | Hex: 4FC</v>
      </c>
      <c r="I53" s="2" t="str">
        <f t="shared" si="0"/>
        <v>F0</v>
      </c>
      <c r="J53" s="2" t="b">
        <f t="shared" si="6"/>
        <v>1</v>
      </c>
      <c r="K53" s="5" t="str" cm="1">
        <f t="array" ref="K53:AK53">_xlfn.TEXTSPLIT(G53, " ")</f>
        <v>02</v>
      </c>
      <c r="L53" s="5" t="str">
        <v>20</v>
      </c>
      <c r="M53" s="5" t="str">
        <v>e0</v>
      </c>
      <c r="N53" s="5" t="str">
        <v>04</v>
      </c>
      <c r="O53" s="5" t="str">
        <v>00</v>
      </c>
      <c r="P53" s="5" t="str">
        <v>00</v>
      </c>
      <c r="Q53" s="5" t="str">
        <v>00</v>
      </c>
      <c r="R53" s="5" t="str">
        <v>06</v>
      </c>
      <c r="S53" s="5" t="str">
        <v>02</v>
      </c>
      <c r="T53" s="5" t="str">
        <v>20</v>
      </c>
      <c r="U53" s="5" t="str">
        <v>e0</v>
      </c>
      <c r="V53" s="5" t="str">
        <v>04</v>
      </c>
      <c r="W53" s="5" t="str">
        <v>00</v>
      </c>
      <c r="X53" s="5" t="str">
        <v>09</v>
      </c>
      <c r="Y53" s="5" t="str">
        <v>3c</v>
      </c>
      <c r="Z53" s="5" t="str">
        <v>80</v>
      </c>
      <c r="AA53" s="8" t="str">
        <v>a1</v>
      </c>
      <c r="AB53" s="5" t="str">
        <v>0d</v>
      </c>
      <c r="AC53" s="5" t="str">
        <v>00</v>
      </c>
      <c r="AD53" s="5" t="str">
        <v>0e</v>
      </c>
      <c r="AE53" s="5" t="str">
        <v>e0</v>
      </c>
      <c r="AF53" s="5" t="str">
        <v>00</v>
      </c>
      <c r="AG53" s="5" t="str">
        <v>00</v>
      </c>
      <c r="AH53" s="5" t="str">
        <v>89</v>
      </c>
      <c r="AI53" s="5" t="str">
        <v>00</v>
      </c>
      <c r="AJ53" s="5" t="str">
        <v>00</v>
      </c>
      <c r="AK53" s="5" t="str">
        <v>f0</v>
      </c>
    </row>
    <row r="54" spans="1:37" ht="23" customHeight="1" x14ac:dyDescent="0.3">
      <c r="A54" s="2" t="s">
        <v>10</v>
      </c>
      <c r="B54" s="2" t="s">
        <v>5</v>
      </c>
      <c r="C54" s="2">
        <v>30</v>
      </c>
      <c r="D54" s="2" t="s">
        <v>3</v>
      </c>
      <c r="E54" s="2">
        <v>2</v>
      </c>
      <c r="F54" s="3" t="s">
        <v>98</v>
      </c>
      <c r="G54" s="2" t="s">
        <v>99</v>
      </c>
      <c r="H54" s="2" t="str" cm="1">
        <f t="array" ref="H54">_xlfn.LET(
  _xlpm.parts, _xlfn.TEXTSPLIT(G54, " "),
  _xlpm.count, COUNTA(_xlpm.parts),
  _xlpm.sum, SUM(--HEX2DEC(INDEX(_xlpm.parts, _xlfn.SEQUENCE(_xlpm.count - 1)))),
  "Dec: " &amp; _xlpm.sum &amp; " | Hex: " &amp; DEC2HEX(_xlpm.sum)
)</f>
        <v>Dec: 1277 | Hex: 4FD</v>
      </c>
      <c r="I54" s="2" t="str">
        <f t="shared" si="0"/>
        <v>F1</v>
      </c>
      <c r="J54" s="2" t="b">
        <f t="shared" si="6"/>
        <v>1</v>
      </c>
      <c r="K54" s="5" t="str" cm="1">
        <f t="array" ref="K54:AK54">_xlfn.TEXTSPLIT(G54, " ")</f>
        <v>02</v>
      </c>
      <c r="L54" s="5" t="str">
        <v>20</v>
      </c>
      <c r="M54" s="5" t="str">
        <v>e0</v>
      </c>
      <c r="N54" s="5" t="str">
        <v>04</v>
      </c>
      <c r="O54" s="5" t="str">
        <v>00</v>
      </c>
      <c r="P54" s="5" t="str">
        <v>00</v>
      </c>
      <c r="Q54" s="5" t="str">
        <v>00</v>
      </c>
      <c r="R54" s="5" t="str">
        <v>06</v>
      </c>
      <c r="S54" s="5" t="str">
        <v>02</v>
      </c>
      <c r="T54" s="5" t="str">
        <v>20</v>
      </c>
      <c r="U54" s="5" t="str">
        <v>e0</v>
      </c>
      <c r="V54" s="5" t="str">
        <v>04</v>
      </c>
      <c r="W54" s="5" t="str">
        <v>00</v>
      </c>
      <c r="X54" s="5" t="str">
        <v>09</v>
      </c>
      <c r="Y54" s="5" t="str">
        <v>3c</v>
      </c>
      <c r="Z54" s="5" t="str">
        <v>80</v>
      </c>
      <c r="AA54" s="8" t="str">
        <v>a2</v>
      </c>
      <c r="AB54" s="5" t="str">
        <v>0d</v>
      </c>
      <c r="AC54" s="5" t="str">
        <v>00</v>
      </c>
      <c r="AD54" s="5" t="str">
        <v>0e</v>
      </c>
      <c r="AE54" s="5" t="str">
        <v>e0</v>
      </c>
      <c r="AF54" s="5" t="str">
        <v>00</v>
      </c>
      <c r="AG54" s="5" t="str">
        <v>00</v>
      </c>
      <c r="AH54" s="5" t="str">
        <v>89</v>
      </c>
      <c r="AI54" s="5" t="str">
        <v>00</v>
      </c>
      <c r="AJ54" s="5" t="str">
        <v>00</v>
      </c>
      <c r="AK54" s="5" t="str">
        <v>f1</v>
      </c>
    </row>
    <row r="55" spans="1:37" ht="23" customHeight="1" x14ac:dyDescent="0.3">
      <c r="A55" s="2" t="s">
        <v>10</v>
      </c>
      <c r="B55" s="2" t="s">
        <v>5</v>
      </c>
      <c r="C55" s="2">
        <v>30</v>
      </c>
      <c r="D55" s="2" t="s">
        <v>3</v>
      </c>
      <c r="E55" s="2">
        <v>3</v>
      </c>
      <c r="F55" s="3" t="s">
        <v>100</v>
      </c>
      <c r="G55" s="2" t="s">
        <v>101</v>
      </c>
      <c r="H55" s="2" t="str" cm="1">
        <f t="array" ref="H55">_xlfn.LET(
  _xlpm.parts, _xlfn.TEXTSPLIT(G55, " "),
  _xlpm.count, COUNTA(_xlpm.parts),
  _xlpm.sum, SUM(--HEX2DEC(INDEX(_xlpm.parts, _xlfn.SEQUENCE(_xlpm.count - 1)))),
  "Dec: " &amp; _xlpm.sum &amp; " | Hex: " &amp; DEC2HEX(_xlpm.sum)
)</f>
        <v>Dec: 1278 | Hex: 4FE</v>
      </c>
      <c r="I55" s="2" t="str">
        <f t="shared" si="0"/>
        <v>F2</v>
      </c>
      <c r="J55" s="2" t="b">
        <f t="shared" si="6"/>
        <v>1</v>
      </c>
      <c r="K55" s="5" t="str" cm="1">
        <f t="array" ref="K55:AK55">_xlfn.TEXTSPLIT(G55, " ")</f>
        <v>02</v>
      </c>
      <c r="L55" s="5" t="str">
        <v>20</v>
      </c>
      <c r="M55" s="5" t="str">
        <v>e0</v>
      </c>
      <c r="N55" s="5" t="str">
        <v>04</v>
      </c>
      <c r="O55" s="5" t="str">
        <v>00</v>
      </c>
      <c r="P55" s="5" t="str">
        <v>00</v>
      </c>
      <c r="Q55" s="5" t="str">
        <v>00</v>
      </c>
      <c r="R55" s="5" t="str">
        <v>06</v>
      </c>
      <c r="S55" s="5" t="str">
        <v>02</v>
      </c>
      <c r="T55" s="5" t="str">
        <v>20</v>
      </c>
      <c r="U55" s="5" t="str">
        <v>e0</v>
      </c>
      <c r="V55" s="5" t="str">
        <v>04</v>
      </c>
      <c r="W55" s="5" t="str">
        <v>00</v>
      </c>
      <c r="X55" s="5" t="str">
        <v>09</v>
      </c>
      <c r="Y55" s="5" t="str">
        <v>3c</v>
      </c>
      <c r="Z55" s="5" t="str">
        <v>80</v>
      </c>
      <c r="AA55" s="8" t="str">
        <v>a3</v>
      </c>
      <c r="AB55" s="5" t="str">
        <v>0d</v>
      </c>
      <c r="AC55" s="5" t="str">
        <v>00</v>
      </c>
      <c r="AD55" s="5" t="str">
        <v>0e</v>
      </c>
      <c r="AE55" s="5" t="str">
        <v>e0</v>
      </c>
      <c r="AF55" s="5" t="str">
        <v>00</v>
      </c>
      <c r="AG55" s="5" t="str">
        <v>00</v>
      </c>
      <c r="AH55" s="5" t="str">
        <v>89</v>
      </c>
      <c r="AI55" s="5" t="str">
        <v>00</v>
      </c>
      <c r="AJ55" s="5" t="str">
        <v>00</v>
      </c>
      <c r="AK55" s="5" t="str">
        <v>f2</v>
      </c>
    </row>
    <row r="56" spans="1:37" ht="23" customHeight="1" x14ac:dyDescent="0.3">
      <c r="A56" s="2" t="s">
        <v>10</v>
      </c>
      <c r="B56" s="2" t="s">
        <v>5</v>
      </c>
      <c r="C56" s="2">
        <v>30</v>
      </c>
      <c r="D56" s="2" t="s">
        <v>3</v>
      </c>
      <c r="E56" s="2">
        <v>4</v>
      </c>
      <c r="F56" s="3" t="s">
        <v>102</v>
      </c>
      <c r="G56" s="2" t="s">
        <v>103</v>
      </c>
      <c r="H56" s="2" t="str" cm="1">
        <f t="array" ref="H56">_xlfn.LET(
  _xlpm.parts, _xlfn.TEXTSPLIT(G56, " "),
  _xlpm.count, COUNTA(_xlpm.parts),
  _xlpm.sum, SUM(--HEX2DEC(INDEX(_xlpm.parts, _xlfn.SEQUENCE(_xlpm.count - 1)))),
  "Dec: " &amp; _xlpm.sum &amp; " | Hex: " &amp; DEC2HEX(_xlpm.sum)
)</f>
        <v>Dec: 1279 | Hex: 4FF</v>
      </c>
      <c r="I56" s="2" t="str">
        <f t="shared" si="0"/>
        <v>F3</v>
      </c>
      <c r="J56" s="2" t="b">
        <f t="shared" si="6"/>
        <v>1</v>
      </c>
      <c r="K56" s="5" t="str" cm="1">
        <f t="array" ref="K56:AK56">_xlfn.TEXTSPLIT(G56, " ")</f>
        <v>02</v>
      </c>
      <c r="L56" s="5" t="str">
        <v>20</v>
      </c>
      <c r="M56" s="5" t="str">
        <v>e0</v>
      </c>
      <c r="N56" s="5" t="str">
        <v>04</v>
      </c>
      <c r="O56" s="5" t="str">
        <v>00</v>
      </c>
      <c r="P56" s="5" t="str">
        <v>00</v>
      </c>
      <c r="Q56" s="5" t="str">
        <v>00</v>
      </c>
      <c r="R56" s="5" t="str">
        <v>06</v>
      </c>
      <c r="S56" s="5" t="str">
        <v>02</v>
      </c>
      <c r="T56" s="5" t="str">
        <v>20</v>
      </c>
      <c r="U56" s="5" t="str">
        <v>e0</v>
      </c>
      <c r="V56" s="5" t="str">
        <v>04</v>
      </c>
      <c r="W56" s="5" t="str">
        <v>00</v>
      </c>
      <c r="X56" s="5" t="str">
        <v>09</v>
      </c>
      <c r="Y56" s="5" t="str">
        <v>3c</v>
      </c>
      <c r="Z56" s="5" t="str">
        <v>80</v>
      </c>
      <c r="AA56" s="8" t="str">
        <v>a4</v>
      </c>
      <c r="AB56" s="5" t="str">
        <v>0d</v>
      </c>
      <c r="AC56" s="5" t="str">
        <v>00</v>
      </c>
      <c r="AD56" s="5" t="str">
        <v>0e</v>
      </c>
      <c r="AE56" s="5" t="str">
        <v>e0</v>
      </c>
      <c r="AF56" s="5" t="str">
        <v>00</v>
      </c>
      <c r="AG56" s="5" t="str">
        <v>00</v>
      </c>
      <c r="AH56" s="5" t="str">
        <v>89</v>
      </c>
      <c r="AI56" s="5" t="str">
        <v>00</v>
      </c>
      <c r="AJ56" s="5" t="str">
        <v>00</v>
      </c>
      <c r="AK56" s="5" t="str">
        <v>f3</v>
      </c>
    </row>
    <row r="57" spans="1:37" ht="23" customHeight="1" x14ac:dyDescent="0.3">
      <c r="A57" s="2" t="s">
        <v>10</v>
      </c>
      <c r="B57" s="2" t="s">
        <v>5</v>
      </c>
      <c r="C57" s="2">
        <v>30</v>
      </c>
      <c r="D57" s="2" t="s">
        <v>3</v>
      </c>
      <c r="E57" s="2">
        <v>5</v>
      </c>
      <c r="F57" s="3" t="s">
        <v>104</v>
      </c>
      <c r="G57" s="2" t="s">
        <v>105</v>
      </c>
      <c r="H57" s="2" t="str" cm="1">
        <f t="array" ref="H57">_xlfn.LET(
  _xlpm.parts, _xlfn.TEXTSPLIT(G57, " "),
  _xlpm.count, COUNTA(_xlpm.parts),
  _xlpm.sum, SUM(--HEX2DEC(INDEX(_xlpm.parts, _xlfn.SEQUENCE(_xlpm.count - 1)))),
  "Dec: " &amp; _xlpm.sum &amp; " | Hex: " &amp; DEC2HEX(_xlpm.sum)
)</f>
        <v>Dec: 1280 | Hex: 500</v>
      </c>
      <c r="I57" s="2" t="str">
        <f t="shared" si="0"/>
        <v>F4</v>
      </c>
      <c r="J57" s="2" t="b">
        <f t="shared" si="6"/>
        <v>1</v>
      </c>
      <c r="K57" s="5" t="str" cm="1">
        <f t="array" ref="K57:AK57">_xlfn.TEXTSPLIT(G57, " ")</f>
        <v>02</v>
      </c>
      <c r="L57" s="5" t="str">
        <v>20</v>
      </c>
      <c r="M57" s="5" t="str">
        <v>e0</v>
      </c>
      <c r="N57" s="5" t="str">
        <v>04</v>
      </c>
      <c r="O57" s="5" t="str">
        <v>00</v>
      </c>
      <c r="P57" s="5" t="str">
        <v>00</v>
      </c>
      <c r="Q57" s="5" t="str">
        <v>00</v>
      </c>
      <c r="R57" s="5" t="str">
        <v>06</v>
      </c>
      <c r="S57" s="5" t="str">
        <v>02</v>
      </c>
      <c r="T57" s="5" t="str">
        <v>20</v>
      </c>
      <c r="U57" s="5" t="str">
        <v>e0</v>
      </c>
      <c r="V57" s="5" t="str">
        <v>04</v>
      </c>
      <c r="W57" s="5" t="str">
        <v>00</v>
      </c>
      <c r="X57" s="5" t="str">
        <v>09</v>
      </c>
      <c r="Y57" s="5" t="str">
        <v>3c</v>
      </c>
      <c r="Z57" s="5" t="str">
        <v>80</v>
      </c>
      <c r="AA57" s="8" t="str">
        <v>a5</v>
      </c>
      <c r="AB57" s="5" t="str">
        <v>0d</v>
      </c>
      <c r="AC57" s="5" t="str">
        <v>00</v>
      </c>
      <c r="AD57" s="5" t="str">
        <v>0e</v>
      </c>
      <c r="AE57" s="5" t="str">
        <v>e0</v>
      </c>
      <c r="AF57" s="5" t="str">
        <v>00</v>
      </c>
      <c r="AG57" s="5" t="str">
        <v>00</v>
      </c>
      <c r="AH57" s="5" t="str">
        <v>89</v>
      </c>
      <c r="AI57" s="5" t="str">
        <v>00</v>
      </c>
      <c r="AJ57" s="5" t="str">
        <v>00</v>
      </c>
      <c r="AK57" s="5" t="str">
        <v>f4</v>
      </c>
    </row>
    <row r="59" spans="1:37" ht="23" customHeight="1" x14ac:dyDescent="0.3">
      <c r="F59" s="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8"/>
      <c r="Y59" s="8"/>
      <c r="Z59" s="5"/>
      <c r="AA59" s="8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 ht="23" customHeight="1" x14ac:dyDescent="0.3">
      <c r="F60" s="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8"/>
      <c r="Y60" s="8"/>
      <c r="Z60" s="5"/>
    </row>
    <row r="61" spans="1:37" ht="23" customHeight="1" x14ac:dyDescent="0.3">
      <c r="F61" s="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8"/>
      <c r="Y61" s="8"/>
      <c r="Z61" s="5"/>
    </row>
    <row r="62" spans="1:37" ht="23" customHeight="1" x14ac:dyDescent="0.3">
      <c r="F62" s="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8"/>
      <c r="Y62" s="8"/>
      <c r="Z62" s="5"/>
    </row>
    <row r="63" spans="1:37" ht="23" customHeight="1" x14ac:dyDescent="0.3"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37" ht="23" customHeight="1" x14ac:dyDescent="0.3">
      <c r="F64" s="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8"/>
      <c r="Y64" s="5"/>
      <c r="Z64" s="5"/>
    </row>
    <row r="65" spans="6:26" ht="23" customHeight="1" x14ac:dyDescent="0.3">
      <c r="F65" s="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8"/>
      <c r="Y65" s="5"/>
      <c r="Z65" s="5"/>
    </row>
    <row r="66" spans="6:26" ht="23" customHeight="1" x14ac:dyDescent="0.3">
      <c r="F66" s="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8"/>
      <c r="Y66" s="5"/>
      <c r="Z66" s="5"/>
    </row>
    <row r="67" spans="6:26" ht="23" customHeight="1" x14ac:dyDescent="0.3">
      <c r="F67" s="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8"/>
      <c r="Y67" s="5"/>
      <c r="Z67" s="5"/>
    </row>
    <row r="68" spans="6:26" ht="23" customHeight="1" x14ac:dyDescent="0.3">
      <c r="F68" s="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8"/>
      <c r="Y68" s="5"/>
      <c r="Z68" s="5"/>
    </row>
    <row r="69" spans="6:26" ht="23" customHeight="1" x14ac:dyDescent="0.3">
      <c r="F69" s="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8"/>
      <c r="Y69" s="5"/>
      <c r="Z69" s="5"/>
    </row>
    <row r="70" spans="6:26" ht="23" customHeight="1" x14ac:dyDescent="0.3">
      <c r="F70" s="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8"/>
      <c r="Y70" s="5"/>
      <c r="Z70" s="5"/>
    </row>
    <row r="71" spans="6:26" ht="23" customHeight="1" x14ac:dyDescent="0.3">
      <c r="F71" s="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8"/>
      <c r="Y71" s="5"/>
      <c r="Z71" s="5"/>
    </row>
    <row r="72" spans="6:26" ht="23" customHeight="1" x14ac:dyDescent="0.3">
      <c r="F72" s="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8"/>
      <c r="Y72" s="5"/>
      <c r="Z72" s="5"/>
    </row>
    <row r="73" spans="6:26" ht="23" customHeight="1" x14ac:dyDescent="0.3">
      <c r="F73" s="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8"/>
      <c r="Y73" s="5"/>
      <c r="Z73" s="5"/>
    </row>
  </sheetData>
  <pageMargins left="0.7" right="0.7" top="0.75" bottom="0.75" header="0.3" footer="0.3"/>
  <pageSetup paperSize="9" scale="5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E4D0-118F-694A-A601-184C820FFA51}">
  <sheetPr codeName="Sheet2"/>
  <dimension ref="A1:AK73"/>
  <sheetViews>
    <sheetView topLeftCell="G29" zoomScale="85" workbookViewId="0">
      <selection activeCell="AM47" sqref="AM47"/>
    </sheetView>
  </sheetViews>
  <sheetFormatPr baseColWidth="10" defaultRowHeight="22" customHeight="1" x14ac:dyDescent="0.3"/>
  <cols>
    <col min="1" max="1" width="14.1640625" style="5" bestFit="1" customWidth="1"/>
    <col min="2" max="5" width="10.83203125" style="5"/>
    <col min="6" max="6" width="40.83203125" style="5" customWidth="1"/>
    <col min="7" max="7" width="93.33203125" style="5" bestFit="1" customWidth="1"/>
    <col min="8" max="8" width="24.83203125" style="5" bestFit="1" customWidth="1"/>
    <col min="9" max="9" width="13.5" style="5" bestFit="1" customWidth="1"/>
    <col min="10" max="10" width="10.83203125" style="5" customWidth="1"/>
    <col min="11" max="32" width="4.1640625" style="5" bestFit="1" customWidth="1"/>
    <col min="33" max="33" width="5" style="5" bestFit="1" customWidth="1"/>
    <col min="34" max="37" width="4.1640625" style="5" bestFit="1" customWidth="1"/>
    <col min="38" max="38" width="10.83203125" style="5" customWidth="1"/>
    <col min="39" max="16384" width="10.83203125" style="5"/>
  </cols>
  <sheetData>
    <row r="1" spans="1:37" ht="22" customHeight="1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1" t="s">
        <v>16</v>
      </c>
      <c r="G1" s="2" t="s">
        <v>4</v>
      </c>
      <c r="H1" s="2" t="s">
        <v>332</v>
      </c>
      <c r="I1" s="2" t="s">
        <v>337</v>
      </c>
      <c r="J1" s="7" t="s">
        <v>338</v>
      </c>
      <c r="K1" s="5">
        <v>0</v>
      </c>
      <c r="L1" s="5">
        <v>1</v>
      </c>
      <c r="M1" s="5">
        <v>2</v>
      </c>
      <c r="N1" s="5">
        <v>3</v>
      </c>
      <c r="O1" s="5">
        <v>4</v>
      </c>
      <c r="P1" s="5">
        <v>5</v>
      </c>
      <c r="Q1" s="5">
        <v>6</v>
      </c>
      <c r="R1" s="5">
        <v>7</v>
      </c>
      <c r="S1" s="5">
        <v>8</v>
      </c>
      <c r="T1" s="5">
        <v>9</v>
      </c>
      <c r="U1" s="5">
        <v>10</v>
      </c>
      <c r="V1" s="5">
        <v>11</v>
      </c>
      <c r="W1" s="5">
        <v>12</v>
      </c>
      <c r="X1" s="8">
        <v>13</v>
      </c>
      <c r="Y1" s="8">
        <v>14</v>
      </c>
      <c r="Z1" s="5">
        <v>15</v>
      </c>
      <c r="AA1" s="8">
        <v>16</v>
      </c>
      <c r="AB1" s="8">
        <v>17</v>
      </c>
      <c r="AC1" s="5">
        <v>18</v>
      </c>
      <c r="AD1" s="5">
        <v>19</v>
      </c>
      <c r="AE1" s="5">
        <v>20</v>
      </c>
      <c r="AF1" s="8">
        <v>21</v>
      </c>
      <c r="AG1" s="5">
        <v>22</v>
      </c>
      <c r="AH1" s="5">
        <v>23</v>
      </c>
      <c r="AI1" s="5">
        <v>24</v>
      </c>
      <c r="AJ1" s="5">
        <v>25</v>
      </c>
      <c r="AK1" s="5">
        <v>26</v>
      </c>
    </row>
    <row r="2" spans="1:37" ht="22" customHeight="1" x14ac:dyDescent="0.3">
      <c r="A2" s="2" t="s">
        <v>107</v>
      </c>
      <c r="B2" s="2" t="s">
        <v>3</v>
      </c>
      <c r="C2" s="2">
        <v>16</v>
      </c>
      <c r="D2" s="2" t="s">
        <v>3</v>
      </c>
      <c r="E2" s="2" t="s">
        <v>3</v>
      </c>
      <c r="F2" s="5" t="s">
        <v>245</v>
      </c>
      <c r="G2" s="5" t="s">
        <v>153</v>
      </c>
      <c r="H2" s="2" t="str" cm="1">
        <f t="array" ref="H2">_xlfn.LET(
  _xlpm.parts, _xlfn.TEXTSPLIT(G2, " "),
  _xlpm.count, COUNTA(_xlpm.parts),
  _xlpm.sum, SUM(--HEX2DEC(INDEX(_xlpm.parts, _xlfn.SEQUENCE(_xlpm.count - 1)))),
  "Dec: " &amp; _xlpm.sum &amp; " | Hex: " &amp; DEC2HEX(_xlpm.sum)
)</f>
        <v>Dec: 1326 | Hex: 52E</v>
      </c>
      <c r="I2" s="2" t="str">
        <f>DEC2HEX(MOD(VALUE(MID(H2, 6, FIND("|", H2)-7)) - 12, 256), 2)</f>
        <v>22</v>
      </c>
      <c r="J2" s="2" t="b">
        <f>I2=AK2</f>
        <v>1</v>
      </c>
      <c r="K2" s="5" t="str" cm="1">
        <f t="array" ref="K2:AK2">_xlfn.TEXTSPLIT(G2, " ")</f>
        <v>02</v>
      </c>
      <c r="L2" s="5" t="str">
        <v>20</v>
      </c>
      <c r="M2" s="5" t="str">
        <v>e0</v>
      </c>
      <c r="N2" s="5" t="str">
        <v>04</v>
      </c>
      <c r="O2" s="5" t="str">
        <v>00</v>
      </c>
      <c r="P2" s="5" t="str">
        <v>00</v>
      </c>
      <c r="Q2" s="5" t="str">
        <v>00</v>
      </c>
      <c r="R2" s="5" t="str">
        <v>06</v>
      </c>
      <c r="S2" s="5" t="str">
        <v>02</v>
      </c>
      <c r="T2" s="5" t="str">
        <v>20</v>
      </c>
      <c r="U2" s="5" t="str">
        <v>e0</v>
      </c>
      <c r="V2" s="5" t="str">
        <v>04</v>
      </c>
      <c r="W2" s="5" t="str">
        <v>00</v>
      </c>
      <c r="X2" s="8" t="str">
        <v>49</v>
      </c>
      <c r="Y2" s="5" t="str">
        <v>20</v>
      </c>
      <c r="Z2" s="5" t="str">
        <v>80</v>
      </c>
      <c r="AA2" s="5" t="str">
        <v>af</v>
      </c>
      <c r="AB2" s="5" t="str">
        <v>0d</v>
      </c>
      <c r="AC2" s="5" t="str">
        <v>00</v>
      </c>
      <c r="AD2" s="5" t="str">
        <v>0e</v>
      </c>
      <c r="AE2" s="5" t="str">
        <v>e0</v>
      </c>
      <c r="AF2" s="5" t="str">
        <v>00</v>
      </c>
      <c r="AG2" s="5" t="str">
        <v>00</v>
      </c>
      <c r="AH2" s="5" t="str">
        <v>89</v>
      </c>
      <c r="AI2" s="5" t="str">
        <v>00</v>
      </c>
      <c r="AJ2" s="5" t="str">
        <v>00</v>
      </c>
      <c r="AK2" s="5" t="str">
        <v>22</v>
      </c>
    </row>
    <row r="3" spans="1:37" ht="22" customHeight="1" x14ac:dyDescent="0.3">
      <c r="A3" s="2" t="s">
        <v>108</v>
      </c>
      <c r="B3" s="2" t="s">
        <v>3</v>
      </c>
      <c r="C3" s="2">
        <v>16</v>
      </c>
      <c r="D3" s="2" t="s">
        <v>3</v>
      </c>
      <c r="E3" s="2" t="s">
        <v>3</v>
      </c>
      <c r="F3" s="5" t="s">
        <v>243</v>
      </c>
      <c r="G3" s="5" t="s">
        <v>244</v>
      </c>
      <c r="H3" s="2" t="str" cm="1">
        <f t="array" ref="H3">_xlfn.LET(
  _xlpm.parts, _xlfn.TEXTSPLIT(G3, " "),
  _xlpm.count, COUNTA(_xlpm.parts),
  _xlpm.sum, SUM(--HEX2DEC(INDEX(_xlpm.parts, _xlfn.SEQUENCE(_xlpm.count - 1)))),
  "Dec: " &amp; _xlpm.sum &amp; " | Hex: " &amp; DEC2HEX(_xlpm.sum)
)</f>
        <v>Dec: 1325 | Hex: 52D</v>
      </c>
      <c r="I3" s="2" t="str">
        <f t="shared" ref="I3:I57" si="0">DEC2HEX(MOD(VALUE(MID(H3, 6, FIND("|", H3)-7)) - 12, 256), 2)</f>
        <v>21</v>
      </c>
      <c r="J3" s="2" t="b">
        <f>I3=AK3</f>
        <v>1</v>
      </c>
      <c r="K3" s="5" t="str" cm="1">
        <f t="array" ref="K3:AK3">_xlfn.TEXTSPLIT(G3, " ")</f>
        <v>02</v>
      </c>
      <c r="L3" s="5" t="str">
        <v>20</v>
      </c>
      <c r="M3" s="5" t="str">
        <v>e0</v>
      </c>
      <c r="N3" s="5" t="str">
        <v>04</v>
      </c>
      <c r="O3" s="5" t="str">
        <v>00</v>
      </c>
      <c r="P3" s="5" t="str">
        <v>00</v>
      </c>
      <c r="Q3" s="5" t="str">
        <v>00</v>
      </c>
      <c r="R3" s="5" t="str">
        <v>06</v>
      </c>
      <c r="S3" s="5" t="str">
        <v>02</v>
      </c>
      <c r="T3" s="5" t="str">
        <v>20</v>
      </c>
      <c r="U3" s="5" t="str">
        <v>e0</v>
      </c>
      <c r="V3" s="5" t="str">
        <v>04</v>
      </c>
      <c r="W3" s="5" t="str">
        <v>00</v>
      </c>
      <c r="X3" s="8" t="str">
        <v>48</v>
      </c>
      <c r="Y3" s="5" t="str">
        <v>20</v>
      </c>
      <c r="Z3" s="5" t="str">
        <v>80</v>
      </c>
      <c r="AA3" s="5" t="str">
        <v>af</v>
      </c>
      <c r="AB3" s="5" t="str">
        <v>0d</v>
      </c>
      <c r="AC3" s="5" t="str">
        <v>00</v>
      </c>
      <c r="AD3" s="5" t="str">
        <v>0e</v>
      </c>
      <c r="AE3" s="5" t="str">
        <v>e0</v>
      </c>
      <c r="AF3" s="5" t="str">
        <v>00</v>
      </c>
      <c r="AG3" s="5" t="str">
        <v>00</v>
      </c>
      <c r="AH3" s="5" t="str">
        <v>89</v>
      </c>
      <c r="AI3" s="5" t="str">
        <v>00</v>
      </c>
      <c r="AJ3" s="5" t="str">
        <v>00</v>
      </c>
      <c r="AK3" s="5" t="str">
        <v>21</v>
      </c>
    </row>
    <row r="4" spans="1:37" ht="22" customHeight="1" x14ac:dyDescent="0.3">
      <c r="A4" s="2"/>
      <c r="B4" s="2"/>
      <c r="C4" s="2"/>
      <c r="D4" s="2"/>
      <c r="E4" s="2"/>
      <c r="H4" s="2"/>
      <c r="I4" s="2"/>
      <c r="J4" s="2"/>
    </row>
    <row r="5" spans="1:37" ht="22" customHeight="1" x14ac:dyDescent="0.3">
      <c r="A5" s="2" t="s">
        <v>2</v>
      </c>
      <c r="B5" s="2" t="s">
        <v>3</v>
      </c>
      <c r="C5" s="2">
        <v>16</v>
      </c>
      <c r="D5" s="2" t="s">
        <v>3</v>
      </c>
      <c r="E5" s="2" t="s">
        <v>3</v>
      </c>
      <c r="F5" s="5" t="s">
        <v>152</v>
      </c>
      <c r="G5" s="5" t="s">
        <v>153</v>
      </c>
      <c r="H5" s="2" t="str" cm="1">
        <f t="array" ref="H5">_xlfn.LET(
  _xlpm.parts, _xlfn.TEXTSPLIT(G5, " "),
  _xlpm.count, COUNTA(_xlpm.parts),
  _xlpm.sum, SUM(--HEX2DEC(INDEX(_xlpm.parts, _xlfn.SEQUENCE(_xlpm.count - 1)))),
  "Dec: " &amp; _xlpm.sum &amp; " | Hex: " &amp; DEC2HEX(_xlpm.sum)
)</f>
        <v>Dec: 1326 | Hex: 52E</v>
      </c>
      <c r="I5" s="2" t="str">
        <f t="shared" si="0"/>
        <v>22</v>
      </c>
      <c r="J5" s="2" t="b">
        <f>I5=AK5</f>
        <v>1</v>
      </c>
      <c r="K5" s="5" t="str" cm="1">
        <f t="array" ref="K5:AK5">_xlfn.TEXTSPLIT(G5, " ")</f>
        <v>02</v>
      </c>
      <c r="L5" s="5" t="str">
        <v>20</v>
      </c>
      <c r="M5" s="5" t="str">
        <v>e0</v>
      </c>
      <c r="N5" s="5" t="str">
        <v>04</v>
      </c>
      <c r="O5" s="5" t="str">
        <v>00</v>
      </c>
      <c r="P5" s="5" t="str">
        <v>00</v>
      </c>
      <c r="Q5" s="5" t="str">
        <v>00</v>
      </c>
      <c r="R5" s="5" t="str">
        <v>06</v>
      </c>
      <c r="S5" s="5" t="str">
        <v>02</v>
      </c>
      <c r="T5" s="5" t="str">
        <v>20</v>
      </c>
      <c r="U5" s="5" t="str">
        <v>e0</v>
      </c>
      <c r="V5" s="5" t="str">
        <v>04</v>
      </c>
      <c r="W5" s="5" t="str">
        <v>00</v>
      </c>
      <c r="X5" s="5" t="str">
        <v>49</v>
      </c>
      <c r="Y5" s="8" t="str">
        <v>20</v>
      </c>
      <c r="Z5" s="5" t="str">
        <v>80</v>
      </c>
      <c r="AA5" s="5" t="str">
        <v>af</v>
      </c>
      <c r="AB5" s="5" t="str">
        <v>0d</v>
      </c>
      <c r="AC5" s="5" t="str">
        <v>00</v>
      </c>
      <c r="AD5" s="5" t="str">
        <v>0e</v>
      </c>
      <c r="AE5" s="5" t="str">
        <v>e0</v>
      </c>
      <c r="AF5" s="5" t="str">
        <v>00</v>
      </c>
      <c r="AG5" s="5" t="str">
        <v>00</v>
      </c>
      <c r="AH5" s="5" t="str">
        <v>89</v>
      </c>
      <c r="AI5" s="5" t="str">
        <v>00</v>
      </c>
      <c r="AJ5" s="5" t="str">
        <v>00</v>
      </c>
      <c r="AK5" s="5" t="str">
        <v>22</v>
      </c>
    </row>
    <row r="6" spans="1:37" ht="22" customHeight="1" x14ac:dyDescent="0.3">
      <c r="A6" s="2" t="s">
        <v>2</v>
      </c>
      <c r="B6" s="2" t="s">
        <v>3</v>
      </c>
      <c r="C6" s="2">
        <v>16.5</v>
      </c>
      <c r="D6" s="2" t="s">
        <v>3</v>
      </c>
      <c r="E6" s="2" t="s">
        <v>3</v>
      </c>
      <c r="F6" s="5" t="s">
        <v>154</v>
      </c>
      <c r="G6" s="5" t="s">
        <v>155</v>
      </c>
      <c r="H6" s="2" t="str" cm="1">
        <f t="array" ref="H6">_xlfn.LET(
  _xlpm.parts, _xlfn.TEXTSPLIT(G6, " "),
  _xlpm.count, COUNTA(_xlpm.parts),
  _xlpm.sum, SUM(--HEX2DEC(INDEX(_xlpm.parts, _xlfn.SEQUENCE(_xlpm.count - 1)))),
  "Dec: " &amp; _xlpm.sum &amp; " | Hex: " &amp; DEC2HEX(_xlpm.sum)
)</f>
        <v>Dec: 1327 | Hex: 52F</v>
      </c>
      <c r="I6" s="2" t="str">
        <f t="shared" si="0"/>
        <v>23</v>
      </c>
      <c r="J6" s="2" t="b">
        <f t="shared" ref="J6:J57" si="1">I6=AK6</f>
        <v>1</v>
      </c>
      <c r="K6" s="5" t="str" cm="1">
        <f t="array" ref="K6:AK6">_xlfn.TEXTSPLIT(G6, " ")</f>
        <v>02</v>
      </c>
      <c r="L6" s="5" t="str">
        <v>20</v>
      </c>
      <c r="M6" s="5" t="str">
        <v>e0</v>
      </c>
      <c r="N6" s="5" t="str">
        <v>04</v>
      </c>
      <c r="O6" s="5" t="str">
        <v>00</v>
      </c>
      <c r="P6" s="5" t="str">
        <v>00</v>
      </c>
      <c r="Q6" s="5" t="str">
        <v>00</v>
      </c>
      <c r="R6" s="5" t="str">
        <v>06</v>
      </c>
      <c r="S6" s="5" t="str">
        <v>02</v>
      </c>
      <c r="T6" s="5" t="str">
        <v>20</v>
      </c>
      <c r="U6" s="5" t="str">
        <v>e0</v>
      </c>
      <c r="V6" s="5" t="str">
        <v>04</v>
      </c>
      <c r="W6" s="5" t="str">
        <v>00</v>
      </c>
      <c r="X6" s="5" t="str">
        <v>49</v>
      </c>
      <c r="Y6" s="8" t="str">
        <v>21</v>
      </c>
      <c r="Z6" s="5" t="str">
        <v>80</v>
      </c>
      <c r="AA6" s="5" t="str">
        <v>af</v>
      </c>
      <c r="AB6" s="5" t="str">
        <v>0d</v>
      </c>
      <c r="AC6" s="5" t="str">
        <v>00</v>
      </c>
      <c r="AD6" s="5" t="str">
        <v>0e</v>
      </c>
      <c r="AE6" s="5" t="str">
        <v>e0</v>
      </c>
      <c r="AF6" s="5" t="str">
        <v>00</v>
      </c>
      <c r="AG6" s="5" t="str">
        <v>00</v>
      </c>
      <c r="AH6" s="5" t="str">
        <v>89</v>
      </c>
      <c r="AI6" s="5" t="str">
        <v>00</v>
      </c>
      <c r="AJ6" s="5" t="str">
        <v>00</v>
      </c>
      <c r="AK6" s="5" t="str">
        <v>23</v>
      </c>
    </row>
    <row r="7" spans="1:37" ht="22" customHeight="1" x14ac:dyDescent="0.3">
      <c r="A7" s="2" t="s">
        <v>2</v>
      </c>
      <c r="B7" s="2" t="s">
        <v>3</v>
      </c>
      <c r="C7" s="2">
        <v>17</v>
      </c>
      <c r="D7" s="2" t="s">
        <v>3</v>
      </c>
      <c r="E7" s="2" t="s">
        <v>3</v>
      </c>
      <c r="F7" s="5" t="s">
        <v>156</v>
      </c>
      <c r="G7" s="5" t="s">
        <v>157</v>
      </c>
      <c r="H7" s="2" t="str" cm="1">
        <f t="array" ref="H7">_xlfn.LET(
  _xlpm.parts, _xlfn.TEXTSPLIT(G7, " "),
  _xlpm.count, COUNTA(_xlpm.parts),
  _xlpm.sum, SUM(--HEX2DEC(INDEX(_xlpm.parts, _xlfn.SEQUENCE(_xlpm.count - 1)))),
  "Dec: " &amp; _xlpm.sum &amp; " | Hex: " &amp; DEC2HEX(_xlpm.sum)
)</f>
        <v>Dec: 1328 | Hex: 530</v>
      </c>
      <c r="I7" s="2" t="str">
        <f t="shared" si="0"/>
        <v>24</v>
      </c>
      <c r="J7" s="2" t="b">
        <f t="shared" si="1"/>
        <v>1</v>
      </c>
      <c r="K7" s="5" t="str" cm="1">
        <f t="array" ref="K7:AK7">_xlfn.TEXTSPLIT(G7, " ")</f>
        <v>02</v>
      </c>
      <c r="L7" s="5" t="str">
        <v>20</v>
      </c>
      <c r="M7" s="5" t="str">
        <v>e0</v>
      </c>
      <c r="N7" s="5" t="str">
        <v>04</v>
      </c>
      <c r="O7" s="5" t="str">
        <v>00</v>
      </c>
      <c r="P7" s="5" t="str">
        <v>00</v>
      </c>
      <c r="Q7" s="5" t="str">
        <v>00</v>
      </c>
      <c r="R7" s="5" t="str">
        <v>06</v>
      </c>
      <c r="S7" s="5" t="str">
        <v>02</v>
      </c>
      <c r="T7" s="5" t="str">
        <v>20</v>
      </c>
      <c r="U7" s="5" t="str">
        <v>e0</v>
      </c>
      <c r="V7" s="5" t="str">
        <v>04</v>
      </c>
      <c r="W7" s="5" t="str">
        <v>00</v>
      </c>
      <c r="X7" s="5" t="str">
        <v>49</v>
      </c>
      <c r="Y7" s="8" t="str">
        <v>22</v>
      </c>
      <c r="Z7" s="5" t="str">
        <v>80</v>
      </c>
      <c r="AA7" s="5" t="str">
        <v>af</v>
      </c>
      <c r="AB7" s="5" t="str">
        <v>0d</v>
      </c>
      <c r="AC7" s="5" t="str">
        <v>00</v>
      </c>
      <c r="AD7" s="5" t="str">
        <v>0e</v>
      </c>
      <c r="AE7" s="5" t="str">
        <v>e0</v>
      </c>
      <c r="AF7" s="5" t="str">
        <v>00</v>
      </c>
      <c r="AG7" s="5" t="str">
        <v>00</v>
      </c>
      <c r="AH7" s="5" t="str">
        <v>89</v>
      </c>
      <c r="AI7" s="5" t="str">
        <v>00</v>
      </c>
      <c r="AJ7" s="5" t="str">
        <v>00</v>
      </c>
      <c r="AK7" s="5" t="str">
        <v>24</v>
      </c>
    </row>
    <row r="8" spans="1:37" ht="22" customHeight="1" x14ac:dyDescent="0.3">
      <c r="A8" s="2" t="s">
        <v>2</v>
      </c>
      <c r="B8" s="2" t="s">
        <v>3</v>
      </c>
      <c r="C8" s="2">
        <v>17.5</v>
      </c>
      <c r="D8" s="2" t="s">
        <v>3</v>
      </c>
      <c r="E8" s="2" t="s">
        <v>3</v>
      </c>
      <c r="F8" s="5" t="s">
        <v>158</v>
      </c>
      <c r="G8" s="5" t="s">
        <v>159</v>
      </c>
      <c r="H8" s="2" t="str" cm="1">
        <f t="array" ref="H8">_xlfn.LET(
  _xlpm.parts, _xlfn.TEXTSPLIT(G8, " "),
  _xlpm.count, COUNTA(_xlpm.parts),
  _xlpm.sum, SUM(--HEX2DEC(INDEX(_xlpm.parts, _xlfn.SEQUENCE(_xlpm.count - 1)))),
  "Dec: " &amp; _xlpm.sum &amp; " | Hex: " &amp; DEC2HEX(_xlpm.sum)
)</f>
        <v>Dec: 1329 | Hex: 531</v>
      </c>
      <c r="I8" s="2" t="str">
        <f t="shared" si="0"/>
        <v>25</v>
      </c>
      <c r="J8" s="2" t="b">
        <f t="shared" si="1"/>
        <v>1</v>
      </c>
      <c r="K8" s="5" t="str" cm="1">
        <f t="array" ref="K8:AK8">_xlfn.TEXTSPLIT(G8, " ")</f>
        <v>02</v>
      </c>
      <c r="L8" s="5" t="str">
        <v>20</v>
      </c>
      <c r="M8" s="5" t="str">
        <v>e0</v>
      </c>
      <c r="N8" s="5" t="str">
        <v>04</v>
      </c>
      <c r="O8" s="5" t="str">
        <v>00</v>
      </c>
      <c r="P8" s="5" t="str">
        <v>00</v>
      </c>
      <c r="Q8" s="5" t="str">
        <v>00</v>
      </c>
      <c r="R8" s="5" t="str">
        <v>06</v>
      </c>
      <c r="S8" s="5" t="str">
        <v>02</v>
      </c>
      <c r="T8" s="5" t="str">
        <v>20</v>
      </c>
      <c r="U8" s="5" t="str">
        <v>e0</v>
      </c>
      <c r="V8" s="5" t="str">
        <v>04</v>
      </c>
      <c r="W8" s="5" t="str">
        <v>00</v>
      </c>
      <c r="X8" s="5" t="str">
        <v>49</v>
      </c>
      <c r="Y8" s="8" t="str">
        <v>23</v>
      </c>
      <c r="Z8" s="5" t="str">
        <v>80</v>
      </c>
      <c r="AA8" s="5" t="str">
        <v>af</v>
      </c>
      <c r="AB8" s="5" t="str">
        <v>0d</v>
      </c>
      <c r="AC8" s="5" t="str">
        <v>00</v>
      </c>
      <c r="AD8" s="5" t="str">
        <v>0e</v>
      </c>
      <c r="AE8" s="5" t="str">
        <v>e0</v>
      </c>
      <c r="AF8" s="5" t="str">
        <v>00</v>
      </c>
      <c r="AG8" s="5" t="str">
        <v>00</v>
      </c>
      <c r="AH8" s="5" t="str">
        <v>89</v>
      </c>
      <c r="AI8" s="5" t="str">
        <v>00</v>
      </c>
      <c r="AJ8" s="5" t="str">
        <v>00</v>
      </c>
      <c r="AK8" s="5" t="str">
        <v>25</v>
      </c>
    </row>
    <row r="9" spans="1:37" ht="22" customHeight="1" x14ac:dyDescent="0.3">
      <c r="A9" s="2" t="s">
        <v>2</v>
      </c>
      <c r="B9" s="2" t="s">
        <v>3</v>
      </c>
      <c r="C9" s="2">
        <v>18</v>
      </c>
      <c r="D9" s="2" t="s">
        <v>3</v>
      </c>
      <c r="E9" s="2" t="s">
        <v>3</v>
      </c>
      <c r="F9" s="5" t="s">
        <v>160</v>
      </c>
      <c r="G9" s="5" t="s">
        <v>161</v>
      </c>
      <c r="H9" s="2" t="str" cm="1">
        <f t="array" ref="H9">_xlfn.LET(
  _xlpm.parts, _xlfn.TEXTSPLIT(G9, " "),
  _xlpm.count, COUNTA(_xlpm.parts),
  _xlpm.sum, SUM(--HEX2DEC(INDEX(_xlpm.parts, _xlfn.SEQUENCE(_xlpm.count - 1)))),
  "Dec: " &amp; _xlpm.sum &amp; " | Hex: " &amp; DEC2HEX(_xlpm.sum)
)</f>
        <v>Dec: 1330 | Hex: 532</v>
      </c>
      <c r="I9" s="2" t="str">
        <f t="shared" si="0"/>
        <v>26</v>
      </c>
      <c r="J9" s="2" t="b">
        <f t="shared" si="1"/>
        <v>1</v>
      </c>
      <c r="K9" s="5" t="str" cm="1">
        <f t="array" ref="K9:AK9">_xlfn.TEXTSPLIT(G9, " ")</f>
        <v>02</v>
      </c>
      <c r="L9" s="5" t="str">
        <v>20</v>
      </c>
      <c r="M9" s="5" t="str">
        <v>e0</v>
      </c>
      <c r="N9" s="5" t="str">
        <v>04</v>
      </c>
      <c r="O9" s="5" t="str">
        <v>00</v>
      </c>
      <c r="P9" s="5" t="str">
        <v>00</v>
      </c>
      <c r="Q9" s="5" t="str">
        <v>00</v>
      </c>
      <c r="R9" s="5" t="str">
        <v>06</v>
      </c>
      <c r="S9" s="5" t="str">
        <v>02</v>
      </c>
      <c r="T9" s="5" t="str">
        <v>20</v>
      </c>
      <c r="U9" s="5" t="str">
        <v>e0</v>
      </c>
      <c r="V9" s="5" t="str">
        <v>04</v>
      </c>
      <c r="W9" s="5" t="str">
        <v>00</v>
      </c>
      <c r="X9" s="5" t="str">
        <v>49</v>
      </c>
      <c r="Y9" s="8" t="str">
        <v>24</v>
      </c>
      <c r="Z9" s="5" t="str">
        <v>80</v>
      </c>
      <c r="AA9" s="5" t="str">
        <v>af</v>
      </c>
      <c r="AB9" s="5" t="str">
        <v>0d</v>
      </c>
      <c r="AC9" s="5" t="str">
        <v>00</v>
      </c>
      <c r="AD9" s="5" t="str">
        <v>0e</v>
      </c>
      <c r="AE9" s="5" t="str">
        <v>e0</v>
      </c>
      <c r="AF9" s="5" t="str">
        <v>00</v>
      </c>
      <c r="AG9" s="5" t="str">
        <v>00</v>
      </c>
      <c r="AH9" s="5" t="str">
        <v>89</v>
      </c>
      <c r="AI9" s="5" t="str">
        <v>00</v>
      </c>
      <c r="AJ9" s="5" t="str">
        <v>00</v>
      </c>
      <c r="AK9" s="5" t="str">
        <v>26</v>
      </c>
    </row>
    <row r="10" spans="1:37" ht="22" customHeight="1" x14ac:dyDescent="0.3">
      <c r="A10" s="2" t="s">
        <v>2</v>
      </c>
      <c r="B10" s="2" t="s">
        <v>3</v>
      </c>
      <c r="C10" s="2">
        <v>18.5</v>
      </c>
      <c r="D10" s="2" t="s">
        <v>3</v>
      </c>
      <c r="E10" s="2" t="s">
        <v>3</v>
      </c>
      <c r="F10" s="5" t="s">
        <v>162</v>
      </c>
      <c r="G10" s="5" t="s">
        <v>163</v>
      </c>
      <c r="H10" s="2" t="str" cm="1">
        <f t="array" ref="H10">_xlfn.LET(
  _xlpm.parts, _xlfn.TEXTSPLIT(G10, " "),
  _xlpm.count, COUNTA(_xlpm.parts),
  _xlpm.sum, SUM(--HEX2DEC(INDEX(_xlpm.parts, _xlfn.SEQUENCE(_xlpm.count - 1)))),
  "Dec: " &amp; _xlpm.sum &amp; " | Hex: " &amp; DEC2HEX(_xlpm.sum)
)</f>
        <v>Dec: 1331 | Hex: 533</v>
      </c>
      <c r="I10" s="2" t="str">
        <f t="shared" si="0"/>
        <v>27</v>
      </c>
      <c r="J10" s="2" t="b">
        <f t="shared" si="1"/>
        <v>1</v>
      </c>
      <c r="K10" s="5" t="str" cm="1">
        <f t="array" ref="K10:AK10">_xlfn.TEXTSPLIT(G10, " ")</f>
        <v>02</v>
      </c>
      <c r="L10" s="5" t="str">
        <v>20</v>
      </c>
      <c r="M10" s="5" t="str">
        <v>e0</v>
      </c>
      <c r="N10" s="5" t="str">
        <v>04</v>
      </c>
      <c r="O10" s="5" t="str">
        <v>00</v>
      </c>
      <c r="P10" s="5" t="str">
        <v>00</v>
      </c>
      <c r="Q10" s="5" t="str">
        <v>00</v>
      </c>
      <c r="R10" s="5" t="str">
        <v>06</v>
      </c>
      <c r="S10" s="5" t="str">
        <v>02</v>
      </c>
      <c r="T10" s="5" t="str">
        <v>20</v>
      </c>
      <c r="U10" s="5" t="str">
        <v>e0</v>
      </c>
      <c r="V10" s="5" t="str">
        <v>04</v>
      </c>
      <c r="W10" s="5" t="str">
        <v>00</v>
      </c>
      <c r="X10" s="5" t="str">
        <v>49</v>
      </c>
      <c r="Y10" s="8" t="str">
        <v>25</v>
      </c>
      <c r="Z10" s="5" t="str">
        <v>80</v>
      </c>
      <c r="AA10" s="5" t="str">
        <v>af</v>
      </c>
      <c r="AB10" s="5" t="str">
        <v>0d</v>
      </c>
      <c r="AC10" s="5" t="str">
        <v>00</v>
      </c>
      <c r="AD10" s="5" t="str">
        <v>0e</v>
      </c>
      <c r="AE10" s="5" t="str">
        <v>e0</v>
      </c>
      <c r="AF10" s="5" t="str">
        <v>00</v>
      </c>
      <c r="AG10" s="5" t="str">
        <v>00</v>
      </c>
      <c r="AH10" s="5" t="str">
        <v>89</v>
      </c>
      <c r="AI10" s="5" t="str">
        <v>00</v>
      </c>
      <c r="AJ10" s="5" t="str">
        <v>00</v>
      </c>
      <c r="AK10" s="5" t="str">
        <v>27</v>
      </c>
    </row>
    <row r="11" spans="1:37" ht="22" customHeight="1" x14ac:dyDescent="0.3">
      <c r="A11" s="2" t="s">
        <v>2</v>
      </c>
      <c r="B11" s="2" t="s">
        <v>3</v>
      </c>
      <c r="C11" s="2">
        <v>19</v>
      </c>
      <c r="D11" s="2" t="s">
        <v>3</v>
      </c>
      <c r="E11" s="2" t="s">
        <v>3</v>
      </c>
      <c r="F11" s="5" t="s">
        <v>164</v>
      </c>
      <c r="G11" s="5" t="s">
        <v>165</v>
      </c>
      <c r="H11" s="2" t="str" cm="1">
        <f t="array" ref="H11">_xlfn.LET(
  _xlpm.parts, _xlfn.TEXTSPLIT(G11, " "),
  _xlpm.count, COUNTA(_xlpm.parts),
  _xlpm.sum, SUM(--HEX2DEC(INDEX(_xlpm.parts, _xlfn.SEQUENCE(_xlpm.count - 1)))),
  "Dec: " &amp; _xlpm.sum &amp; " | Hex: " &amp; DEC2HEX(_xlpm.sum)
)</f>
        <v>Dec: 1332 | Hex: 534</v>
      </c>
      <c r="I11" s="2" t="str">
        <f t="shared" si="0"/>
        <v>28</v>
      </c>
      <c r="J11" s="2" t="b">
        <f t="shared" si="1"/>
        <v>1</v>
      </c>
      <c r="K11" s="5" t="str" cm="1">
        <f t="array" ref="K11:AK11">_xlfn.TEXTSPLIT(G11, " ")</f>
        <v>02</v>
      </c>
      <c r="L11" s="5" t="str">
        <v>20</v>
      </c>
      <c r="M11" s="5" t="str">
        <v>e0</v>
      </c>
      <c r="N11" s="5" t="str">
        <v>04</v>
      </c>
      <c r="O11" s="5" t="str">
        <v>00</v>
      </c>
      <c r="P11" s="5" t="str">
        <v>00</v>
      </c>
      <c r="Q11" s="5" t="str">
        <v>00</v>
      </c>
      <c r="R11" s="5" t="str">
        <v>06</v>
      </c>
      <c r="S11" s="5" t="str">
        <v>02</v>
      </c>
      <c r="T11" s="5" t="str">
        <v>20</v>
      </c>
      <c r="U11" s="5" t="str">
        <v>e0</v>
      </c>
      <c r="V11" s="5" t="str">
        <v>04</v>
      </c>
      <c r="W11" s="5" t="str">
        <v>00</v>
      </c>
      <c r="X11" s="5" t="str">
        <v>49</v>
      </c>
      <c r="Y11" s="8" t="str">
        <v>26</v>
      </c>
      <c r="Z11" s="5" t="str">
        <v>80</v>
      </c>
      <c r="AA11" s="5" t="str">
        <v>af</v>
      </c>
      <c r="AB11" s="5" t="str">
        <v>0d</v>
      </c>
      <c r="AC11" s="5" t="str">
        <v>00</v>
      </c>
      <c r="AD11" s="5" t="str">
        <v>0e</v>
      </c>
      <c r="AE11" s="5" t="str">
        <v>e0</v>
      </c>
      <c r="AF11" s="5" t="str">
        <v>00</v>
      </c>
      <c r="AG11" s="5" t="str">
        <v>00</v>
      </c>
      <c r="AH11" s="5" t="str">
        <v>89</v>
      </c>
      <c r="AI11" s="5" t="str">
        <v>00</v>
      </c>
      <c r="AJ11" s="5" t="str">
        <v>00</v>
      </c>
      <c r="AK11" s="5" t="str">
        <v>28</v>
      </c>
    </row>
    <row r="12" spans="1:37" ht="22" customHeight="1" x14ac:dyDescent="0.3">
      <c r="A12" s="2" t="s">
        <v>2</v>
      </c>
      <c r="B12" s="2" t="s">
        <v>3</v>
      </c>
      <c r="C12" s="2">
        <v>19.5</v>
      </c>
      <c r="D12" s="2" t="s">
        <v>3</v>
      </c>
      <c r="E12" s="2" t="s">
        <v>3</v>
      </c>
      <c r="F12" s="5" t="s">
        <v>166</v>
      </c>
      <c r="G12" s="5" t="s">
        <v>167</v>
      </c>
      <c r="H12" s="2" t="str" cm="1">
        <f t="array" ref="H12">_xlfn.LET(
  _xlpm.parts, _xlfn.TEXTSPLIT(G12, " "),
  _xlpm.count, COUNTA(_xlpm.parts),
  _xlpm.sum, SUM(--HEX2DEC(INDEX(_xlpm.parts, _xlfn.SEQUENCE(_xlpm.count - 1)))),
  "Dec: " &amp; _xlpm.sum &amp; " | Hex: " &amp; DEC2HEX(_xlpm.sum)
)</f>
        <v>Dec: 1333 | Hex: 535</v>
      </c>
      <c r="I12" s="2" t="str">
        <f t="shared" si="0"/>
        <v>29</v>
      </c>
      <c r="J12" s="2" t="b">
        <f t="shared" si="1"/>
        <v>1</v>
      </c>
      <c r="K12" s="5" t="str" cm="1">
        <f t="array" ref="K12:AK12">_xlfn.TEXTSPLIT(G12, " ")</f>
        <v>02</v>
      </c>
      <c r="L12" s="5" t="str">
        <v>20</v>
      </c>
      <c r="M12" s="5" t="str">
        <v>e0</v>
      </c>
      <c r="N12" s="5" t="str">
        <v>04</v>
      </c>
      <c r="O12" s="5" t="str">
        <v>00</v>
      </c>
      <c r="P12" s="5" t="str">
        <v>00</v>
      </c>
      <c r="Q12" s="5" t="str">
        <v>00</v>
      </c>
      <c r="R12" s="5" t="str">
        <v>06</v>
      </c>
      <c r="S12" s="5" t="str">
        <v>02</v>
      </c>
      <c r="T12" s="5" t="str">
        <v>20</v>
      </c>
      <c r="U12" s="5" t="str">
        <v>e0</v>
      </c>
      <c r="V12" s="5" t="str">
        <v>04</v>
      </c>
      <c r="W12" s="5" t="str">
        <v>00</v>
      </c>
      <c r="X12" s="5" t="str">
        <v>49</v>
      </c>
      <c r="Y12" s="8" t="str">
        <v>27</v>
      </c>
      <c r="Z12" s="5" t="str">
        <v>80</v>
      </c>
      <c r="AA12" s="5" t="str">
        <v>af</v>
      </c>
      <c r="AB12" s="5" t="str">
        <v>0d</v>
      </c>
      <c r="AC12" s="5" t="str">
        <v>00</v>
      </c>
      <c r="AD12" s="5" t="str">
        <v>0e</v>
      </c>
      <c r="AE12" s="5" t="str">
        <v>e0</v>
      </c>
      <c r="AF12" s="5" t="str">
        <v>00</v>
      </c>
      <c r="AG12" s="5" t="str">
        <v>00</v>
      </c>
      <c r="AH12" s="5" t="str">
        <v>89</v>
      </c>
      <c r="AI12" s="5" t="str">
        <v>00</v>
      </c>
      <c r="AJ12" s="5" t="str">
        <v>00</v>
      </c>
      <c r="AK12" s="5" t="str">
        <v>29</v>
      </c>
    </row>
    <row r="13" spans="1:37" ht="22" customHeight="1" x14ac:dyDescent="0.3">
      <c r="A13" s="2" t="s">
        <v>2</v>
      </c>
      <c r="B13" s="2" t="s">
        <v>3</v>
      </c>
      <c r="C13" s="2">
        <v>20</v>
      </c>
      <c r="D13" s="2" t="s">
        <v>3</v>
      </c>
      <c r="E13" s="2" t="s">
        <v>3</v>
      </c>
      <c r="F13" s="5" t="s">
        <v>168</v>
      </c>
      <c r="G13" s="5" t="s">
        <v>169</v>
      </c>
      <c r="H13" s="2" t="str" cm="1">
        <f t="array" ref="H13">_xlfn.LET(
  _xlpm.parts, _xlfn.TEXTSPLIT(G13, " "),
  _xlpm.count, COUNTA(_xlpm.parts),
  _xlpm.sum, SUM(--HEX2DEC(INDEX(_xlpm.parts, _xlfn.SEQUENCE(_xlpm.count - 1)))),
  "Dec: " &amp; _xlpm.sum &amp; " | Hex: " &amp; DEC2HEX(_xlpm.sum)
)</f>
        <v>Dec: 1334 | Hex: 536</v>
      </c>
      <c r="I13" s="2" t="str">
        <f t="shared" si="0"/>
        <v>2A</v>
      </c>
      <c r="J13" s="2" t="b">
        <f t="shared" si="1"/>
        <v>1</v>
      </c>
      <c r="K13" s="5" t="str" cm="1">
        <f t="array" ref="K13:AK13">_xlfn.TEXTSPLIT(G13, " ")</f>
        <v>02</v>
      </c>
      <c r="L13" s="5" t="str">
        <v>20</v>
      </c>
      <c r="M13" s="5" t="str">
        <v>e0</v>
      </c>
      <c r="N13" s="5" t="str">
        <v>04</v>
      </c>
      <c r="O13" s="5" t="str">
        <v>00</v>
      </c>
      <c r="P13" s="5" t="str">
        <v>00</v>
      </c>
      <c r="Q13" s="5" t="str">
        <v>00</v>
      </c>
      <c r="R13" s="5" t="str">
        <v>06</v>
      </c>
      <c r="S13" s="5" t="str">
        <v>02</v>
      </c>
      <c r="T13" s="5" t="str">
        <v>20</v>
      </c>
      <c r="U13" s="5" t="str">
        <v>e0</v>
      </c>
      <c r="V13" s="5" t="str">
        <v>04</v>
      </c>
      <c r="W13" s="5" t="str">
        <v>00</v>
      </c>
      <c r="X13" s="5" t="str">
        <v>49</v>
      </c>
      <c r="Y13" s="8" t="str">
        <v>28</v>
      </c>
      <c r="Z13" s="5" t="str">
        <v>80</v>
      </c>
      <c r="AA13" s="5" t="str">
        <v>af</v>
      </c>
      <c r="AB13" s="5" t="str">
        <v>0d</v>
      </c>
      <c r="AC13" s="5" t="str">
        <v>00</v>
      </c>
      <c r="AD13" s="5" t="str">
        <v>0e</v>
      </c>
      <c r="AE13" s="5" t="str">
        <v>e0</v>
      </c>
      <c r="AF13" s="5" t="str">
        <v>00</v>
      </c>
      <c r="AG13" s="5" t="str">
        <v>00</v>
      </c>
      <c r="AH13" s="5" t="str">
        <v>89</v>
      </c>
      <c r="AI13" s="5" t="str">
        <v>00</v>
      </c>
      <c r="AJ13" s="5" t="str">
        <v>00</v>
      </c>
      <c r="AK13" s="5" t="str">
        <v>2a</v>
      </c>
    </row>
    <row r="14" spans="1:37" ht="22" customHeight="1" x14ac:dyDescent="0.3">
      <c r="A14" s="2" t="s">
        <v>2</v>
      </c>
      <c r="B14" s="2" t="s">
        <v>3</v>
      </c>
      <c r="C14" s="2">
        <v>20.5</v>
      </c>
      <c r="D14" s="2" t="s">
        <v>3</v>
      </c>
      <c r="E14" s="2" t="s">
        <v>3</v>
      </c>
      <c r="F14" s="5" t="s">
        <v>170</v>
      </c>
      <c r="G14" s="5" t="s">
        <v>171</v>
      </c>
      <c r="H14" s="2" t="str" cm="1">
        <f t="array" ref="H14">_xlfn.LET(
  _xlpm.parts, _xlfn.TEXTSPLIT(G14, " "),
  _xlpm.count, COUNTA(_xlpm.parts),
  _xlpm.sum, SUM(--HEX2DEC(INDEX(_xlpm.parts, _xlfn.SEQUENCE(_xlpm.count - 1)))),
  "Dec: " &amp; _xlpm.sum &amp; " | Hex: " &amp; DEC2HEX(_xlpm.sum)
)</f>
        <v>Dec: 1335 | Hex: 537</v>
      </c>
      <c r="I14" s="2" t="str">
        <f t="shared" si="0"/>
        <v>2B</v>
      </c>
      <c r="J14" s="2" t="b">
        <f t="shared" si="1"/>
        <v>1</v>
      </c>
      <c r="K14" s="5" t="str" cm="1">
        <f t="array" ref="K14:AK14">_xlfn.TEXTSPLIT(G14, " ")</f>
        <v>02</v>
      </c>
      <c r="L14" s="5" t="str">
        <v>20</v>
      </c>
      <c r="M14" s="5" t="str">
        <v>e0</v>
      </c>
      <c r="N14" s="5" t="str">
        <v>04</v>
      </c>
      <c r="O14" s="5" t="str">
        <v>00</v>
      </c>
      <c r="P14" s="5" t="str">
        <v>00</v>
      </c>
      <c r="Q14" s="5" t="str">
        <v>00</v>
      </c>
      <c r="R14" s="5" t="str">
        <v>06</v>
      </c>
      <c r="S14" s="5" t="str">
        <v>02</v>
      </c>
      <c r="T14" s="5" t="str">
        <v>20</v>
      </c>
      <c r="U14" s="5" t="str">
        <v>e0</v>
      </c>
      <c r="V14" s="5" t="str">
        <v>04</v>
      </c>
      <c r="W14" s="5" t="str">
        <v>00</v>
      </c>
      <c r="X14" s="5" t="str">
        <v>49</v>
      </c>
      <c r="Y14" s="8" t="str">
        <v>29</v>
      </c>
      <c r="Z14" s="5" t="str">
        <v>80</v>
      </c>
      <c r="AA14" s="5" t="str">
        <v>af</v>
      </c>
      <c r="AB14" s="5" t="str">
        <v>0d</v>
      </c>
      <c r="AC14" s="5" t="str">
        <v>00</v>
      </c>
      <c r="AD14" s="5" t="str">
        <v>0e</v>
      </c>
      <c r="AE14" s="5" t="str">
        <v>e0</v>
      </c>
      <c r="AF14" s="5" t="str">
        <v>00</v>
      </c>
      <c r="AG14" s="5" t="str">
        <v>00</v>
      </c>
      <c r="AH14" s="5" t="str">
        <v>89</v>
      </c>
      <c r="AI14" s="5" t="str">
        <v>00</v>
      </c>
      <c r="AJ14" s="5" t="str">
        <v>00</v>
      </c>
      <c r="AK14" s="5" t="str">
        <v>2b</v>
      </c>
    </row>
    <row r="15" spans="1:37" ht="22" customHeight="1" x14ac:dyDescent="0.3">
      <c r="A15" s="2" t="s">
        <v>2</v>
      </c>
      <c r="B15" s="2" t="s">
        <v>3</v>
      </c>
      <c r="C15" s="2">
        <v>21</v>
      </c>
      <c r="D15" s="2" t="s">
        <v>3</v>
      </c>
      <c r="E15" s="2" t="s">
        <v>3</v>
      </c>
      <c r="F15" s="5" t="s">
        <v>172</v>
      </c>
      <c r="G15" s="5" t="s">
        <v>173</v>
      </c>
      <c r="H15" s="2" t="str" cm="1">
        <f t="array" ref="H15">_xlfn.LET(
  _xlpm.parts, _xlfn.TEXTSPLIT(G15, " "),
  _xlpm.count, COUNTA(_xlpm.parts),
  _xlpm.sum, SUM(--HEX2DEC(INDEX(_xlpm.parts, _xlfn.SEQUENCE(_xlpm.count - 1)))),
  "Dec: " &amp; _xlpm.sum &amp; " | Hex: " &amp; DEC2HEX(_xlpm.sum)
)</f>
        <v>Dec: 1336 | Hex: 538</v>
      </c>
      <c r="I15" s="2" t="str">
        <f t="shared" si="0"/>
        <v>2C</v>
      </c>
      <c r="J15" s="2" t="b">
        <f t="shared" si="1"/>
        <v>1</v>
      </c>
      <c r="K15" s="5" t="str" cm="1">
        <f t="array" ref="K15:AK15">_xlfn.TEXTSPLIT(G15, " ")</f>
        <v>02</v>
      </c>
      <c r="L15" s="5" t="str">
        <v>20</v>
      </c>
      <c r="M15" s="5" t="str">
        <v>e0</v>
      </c>
      <c r="N15" s="5" t="str">
        <v>04</v>
      </c>
      <c r="O15" s="5" t="str">
        <v>00</v>
      </c>
      <c r="P15" s="5" t="str">
        <v>00</v>
      </c>
      <c r="Q15" s="5" t="str">
        <v>00</v>
      </c>
      <c r="R15" s="5" t="str">
        <v>06</v>
      </c>
      <c r="S15" s="5" t="str">
        <v>02</v>
      </c>
      <c r="T15" s="5" t="str">
        <v>20</v>
      </c>
      <c r="U15" s="5" t="str">
        <v>e0</v>
      </c>
      <c r="V15" s="5" t="str">
        <v>04</v>
      </c>
      <c r="W15" s="5" t="str">
        <v>00</v>
      </c>
      <c r="X15" s="5" t="str">
        <v>49</v>
      </c>
      <c r="Y15" s="8" t="str">
        <v>2a</v>
      </c>
      <c r="Z15" s="5" t="str">
        <v>80</v>
      </c>
      <c r="AA15" s="5" t="str">
        <v>af</v>
      </c>
      <c r="AB15" s="5" t="str">
        <v>0d</v>
      </c>
      <c r="AC15" s="5" t="str">
        <v>00</v>
      </c>
      <c r="AD15" s="5" t="str">
        <v>0e</v>
      </c>
      <c r="AE15" s="5" t="str">
        <v>e0</v>
      </c>
      <c r="AF15" s="5" t="str">
        <v>00</v>
      </c>
      <c r="AG15" s="5" t="str">
        <v>00</v>
      </c>
      <c r="AH15" s="5" t="str">
        <v>89</v>
      </c>
      <c r="AI15" s="5" t="str">
        <v>00</v>
      </c>
      <c r="AJ15" s="5" t="str">
        <v>00</v>
      </c>
      <c r="AK15" s="5" t="str">
        <v>2c</v>
      </c>
    </row>
    <row r="16" spans="1:37" ht="22" customHeight="1" x14ac:dyDescent="0.3">
      <c r="A16" s="2" t="s">
        <v>2</v>
      </c>
      <c r="B16" s="2" t="s">
        <v>3</v>
      </c>
      <c r="C16" s="2">
        <v>21.5</v>
      </c>
      <c r="D16" s="2" t="s">
        <v>3</v>
      </c>
      <c r="E16" s="2" t="s">
        <v>3</v>
      </c>
      <c r="F16" s="5" t="s">
        <v>174</v>
      </c>
      <c r="G16" s="5" t="s">
        <v>175</v>
      </c>
      <c r="H16" s="2" t="str" cm="1">
        <f t="array" ref="H16">_xlfn.LET(
  _xlpm.parts, _xlfn.TEXTSPLIT(G16, " "),
  _xlpm.count, COUNTA(_xlpm.parts),
  _xlpm.sum, SUM(--HEX2DEC(INDEX(_xlpm.parts, _xlfn.SEQUENCE(_xlpm.count - 1)))),
  "Dec: " &amp; _xlpm.sum &amp; " | Hex: " &amp; DEC2HEX(_xlpm.sum)
)</f>
        <v>Dec: 1337 | Hex: 539</v>
      </c>
      <c r="I16" s="2" t="str">
        <f t="shared" si="0"/>
        <v>2D</v>
      </c>
      <c r="J16" s="2" t="b">
        <f t="shared" si="1"/>
        <v>1</v>
      </c>
      <c r="K16" s="5" t="str" cm="1">
        <f t="array" ref="K16:AK16">_xlfn.TEXTSPLIT(G16, " ")</f>
        <v>02</v>
      </c>
      <c r="L16" s="5" t="str">
        <v>20</v>
      </c>
      <c r="M16" s="5" t="str">
        <v>e0</v>
      </c>
      <c r="N16" s="5" t="str">
        <v>04</v>
      </c>
      <c r="O16" s="5" t="str">
        <v>00</v>
      </c>
      <c r="P16" s="5" t="str">
        <v>00</v>
      </c>
      <c r="Q16" s="5" t="str">
        <v>00</v>
      </c>
      <c r="R16" s="5" t="str">
        <v>06</v>
      </c>
      <c r="S16" s="5" t="str">
        <v>02</v>
      </c>
      <c r="T16" s="5" t="str">
        <v>20</v>
      </c>
      <c r="U16" s="5" t="str">
        <v>e0</v>
      </c>
      <c r="V16" s="5" t="str">
        <v>04</v>
      </c>
      <c r="W16" s="5" t="str">
        <v>00</v>
      </c>
      <c r="X16" s="5" t="str">
        <v>49</v>
      </c>
      <c r="Y16" s="8" t="str">
        <v>2b</v>
      </c>
      <c r="Z16" s="5" t="str">
        <v>80</v>
      </c>
      <c r="AA16" s="5" t="str">
        <v>af</v>
      </c>
      <c r="AB16" s="5" t="str">
        <v>0d</v>
      </c>
      <c r="AC16" s="5" t="str">
        <v>00</v>
      </c>
      <c r="AD16" s="5" t="str">
        <v>0e</v>
      </c>
      <c r="AE16" s="5" t="str">
        <v>e0</v>
      </c>
      <c r="AF16" s="5" t="str">
        <v>00</v>
      </c>
      <c r="AG16" s="5" t="str">
        <v>00</v>
      </c>
      <c r="AH16" s="5" t="str">
        <v>89</v>
      </c>
      <c r="AI16" s="5" t="str">
        <v>00</v>
      </c>
      <c r="AJ16" s="5" t="str">
        <v>00</v>
      </c>
      <c r="AK16" s="5" t="str">
        <v>2d</v>
      </c>
    </row>
    <row r="17" spans="1:37" ht="22" customHeight="1" x14ac:dyDescent="0.3">
      <c r="A17" s="2" t="s">
        <v>2</v>
      </c>
      <c r="B17" s="2" t="s">
        <v>3</v>
      </c>
      <c r="C17" s="2">
        <v>22</v>
      </c>
      <c r="D17" s="2" t="s">
        <v>3</v>
      </c>
      <c r="E17" s="2" t="s">
        <v>3</v>
      </c>
      <c r="F17" s="5" t="s">
        <v>176</v>
      </c>
      <c r="G17" s="5" t="s">
        <v>177</v>
      </c>
      <c r="H17" s="2" t="str" cm="1">
        <f t="array" ref="H17">_xlfn.LET(
  _xlpm.parts, _xlfn.TEXTSPLIT(G17, " "),
  _xlpm.count, COUNTA(_xlpm.parts),
  _xlpm.sum, SUM(--HEX2DEC(INDEX(_xlpm.parts, _xlfn.SEQUENCE(_xlpm.count - 1)))),
  "Dec: " &amp; _xlpm.sum &amp; " | Hex: " &amp; DEC2HEX(_xlpm.sum)
)</f>
        <v>Dec: 1338 | Hex: 53A</v>
      </c>
      <c r="I17" s="2" t="str">
        <f t="shared" si="0"/>
        <v>2E</v>
      </c>
      <c r="J17" s="2" t="b">
        <f t="shared" si="1"/>
        <v>1</v>
      </c>
      <c r="K17" s="5" t="str" cm="1">
        <f t="array" ref="K17:AK17">_xlfn.TEXTSPLIT(G17, " ")</f>
        <v>02</v>
      </c>
      <c r="L17" s="5" t="str">
        <v>20</v>
      </c>
      <c r="M17" s="5" t="str">
        <v>e0</v>
      </c>
      <c r="N17" s="5" t="str">
        <v>04</v>
      </c>
      <c r="O17" s="5" t="str">
        <v>00</v>
      </c>
      <c r="P17" s="5" t="str">
        <v>00</v>
      </c>
      <c r="Q17" s="5" t="str">
        <v>00</v>
      </c>
      <c r="R17" s="5" t="str">
        <v>06</v>
      </c>
      <c r="S17" s="5" t="str">
        <v>02</v>
      </c>
      <c r="T17" s="5" t="str">
        <v>20</v>
      </c>
      <c r="U17" s="5" t="str">
        <v>e0</v>
      </c>
      <c r="V17" s="5" t="str">
        <v>04</v>
      </c>
      <c r="W17" s="5" t="str">
        <v>00</v>
      </c>
      <c r="X17" s="5" t="str">
        <v>49</v>
      </c>
      <c r="Y17" s="8" t="str">
        <v>2c</v>
      </c>
      <c r="Z17" s="5" t="str">
        <v>80</v>
      </c>
      <c r="AA17" s="5" t="str">
        <v>af</v>
      </c>
      <c r="AB17" s="5" t="str">
        <v>0d</v>
      </c>
      <c r="AC17" s="5" t="str">
        <v>00</v>
      </c>
      <c r="AD17" s="5" t="str">
        <v>0e</v>
      </c>
      <c r="AE17" s="5" t="str">
        <v>e0</v>
      </c>
      <c r="AF17" s="5" t="str">
        <v>00</v>
      </c>
      <c r="AG17" s="5" t="str">
        <v>00</v>
      </c>
      <c r="AH17" s="5" t="str">
        <v>89</v>
      </c>
      <c r="AI17" s="5" t="str">
        <v>00</v>
      </c>
      <c r="AJ17" s="5" t="str">
        <v>00</v>
      </c>
      <c r="AK17" s="5" t="str">
        <v>2e</v>
      </c>
    </row>
    <row r="18" spans="1:37" ht="22" customHeight="1" x14ac:dyDescent="0.3">
      <c r="A18" s="2" t="s">
        <v>2</v>
      </c>
      <c r="B18" s="2" t="s">
        <v>3</v>
      </c>
      <c r="C18" s="2">
        <v>22.5</v>
      </c>
      <c r="D18" s="2" t="s">
        <v>3</v>
      </c>
      <c r="E18" s="2" t="s">
        <v>3</v>
      </c>
      <c r="F18" s="5" t="s">
        <v>178</v>
      </c>
      <c r="G18" s="5" t="s">
        <v>179</v>
      </c>
      <c r="H18" s="2" t="str" cm="1">
        <f t="array" ref="H18">_xlfn.LET(
  _xlpm.parts, _xlfn.TEXTSPLIT(G18, " "),
  _xlpm.count, COUNTA(_xlpm.parts),
  _xlpm.sum, SUM(--HEX2DEC(INDEX(_xlpm.parts, _xlfn.SEQUENCE(_xlpm.count - 1)))),
  "Dec: " &amp; _xlpm.sum &amp; " | Hex: " &amp; DEC2HEX(_xlpm.sum)
)</f>
        <v>Dec: 1339 | Hex: 53B</v>
      </c>
      <c r="I18" s="2" t="str">
        <f t="shared" si="0"/>
        <v>2F</v>
      </c>
      <c r="J18" s="2" t="b">
        <f t="shared" si="1"/>
        <v>1</v>
      </c>
      <c r="K18" s="5" t="str" cm="1">
        <f t="array" ref="K18:AK18">_xlfn.TEXTSPLIT(G18, " ")</f>
        <v>02</v>
      </c>
      <c r="L18" s="5" t="str">
        <v>20</v>
      </c>
      <c r="M18" s="5" t="str">
        <v>e0</v>
      </c>
      <c r="N18" s="5" t="str">
        <v>04</v>
      </c>
      <c r="O18" s="5" t="str">
        <v>00</v>
      </c>
      <c r="P18" s="5" t="str">
        <v>00</v>
      </c>
      <c r="Q18" s="5" t="str">
        <v>00</v>
      </c>
      <c r="R18" s="5" t="str">
        <v>06</v>
      </c>
      <c r="S18" s="5" t="str">
        <v>02</v>
      </c>
      <c r="T18" s="5" t="str">
        <v>20</v>
      </c>
      <c r="U18" s="5" t="str">
        <v>e0</v>
      </c>
      <c r="V18" s="5" t="str">
        <v>04</v>
      </c>
      <c r="W18" s="5" t="str">
        <v>00</v>
      </c>
      <c r="X18" s="5" t="str">
        <v>49</v>
      </c>
      <c r="Y18" s="8" t="str">
        <v>2d</v>
      </c>
      <c r="Z18" s="5" t="str">
        <v>80</v>
      </c>
      <c r="AA18" s="5" t="str">
        <v>af</v>
      </c>
      <c r="AB18" s="5" t="str">
        <v>0d</v>
      </c>
      <c r="AC18" s="5" t="str">
        <v>00</v>
      </c>
      <c r="AD18" s="5" t="str">
        <v>0e</v>
      </c>
      <c r="AE18" s="5" t="str">
        <v>e0</v>
      </c>
      <c r="AF18" s="5" t="str">
        <v>00</v>
      </c>
      <c r="AG18" s="5" t="str">
        <v>00</v>
      </c>
      <c r="AH18" s="5" t="str">
        <v>89</v>
      </c>
      <c r="AI18" s="5" t="str">
        <v>00</v>
      </c>
      <c r="AJ18" s="5" t="str">
        <v>00</v>
      </c>
      <c r="AK18" s="5" t="str">
        <v>2f</v>
      </c>
    </row>
    <row r="19" spans="1:37" ht="22" customHeight="1" x14ac:dyDescent="0.3">
      <c r="A19" s="2" t="s">
        <v>2</v>
      </c>
      <c r="B19" s="2" t="s">
        <v>3</v>
      </c>
      <c r="C19" s="2">
        <v>23</v>
      </c>
      <c r="D19" s="2" t="s">
        <v>3</v>
      </c>
      <c r="E19" s="2" t="s">
        <v>3</v>
      </c>
      <c r="F19" s="5" t="s">
        <v>181</v>
      </c>
      <c r="G19" s="5" t="s">
        <v>180</v>
      </c>
      <c r="H19" s="2" t="str" cm="1">
        <f t="array" ref="H19">_xlfn.LET(
  _xlpm.parts, _xlfn.TEXTSPLIT(G19, " "),
  _xlpm.count, COUNTA(_xlpm.parts),
  _xlpm.sum, SUM(--HEX2DEC(INDEX(_xlpm.parts, _xlfn.SEQUENCE(_xlpm.count - 1)))),
  "Dec: " &amp; _xlpm.sum &amp; " | Hex: " &amp; DEC2HEX(_xlpm.sum)
)</f>
        <v>Dec: 1340 | Hex: 53C</v>
      </c>
      <c r="I19" s="2" t="str">
        <f t="shared" si="0"/>
        <v>30</v>
      </c>
      <c r="J19" s="2" t="b">
        <f t="shared" si="1"/>
        <v>1</v>
      </c>
      <c r="K19" s="5" t="str" cm="1">
        <f t="array" ref="K19:AK19">_xlfn.TEXTSPLIT(G19, " ")</f>
        <v>02</v>
      </c>
      <c r="L19" s="5" t="str">
        <v>20</v>
      </c>
      <c r="M19" s="5" t="str">
        <v>e0</v>
      </c>
      <c r="N19" s="5" t="str">
        <v>04</v>
      </c>
      <c r="O19" s="5" t="str">
        <v>00</v>
      </c>
      <c r="P19" s="5" t="str">
        <v>00</v>
      </c>
      <c r="Q19" s="5" t="str">
        <v>00</v>
      </c>
      <c r="R19" s="5" t="str">
        <v>06</v>
      </c>
      <c r="S19" s="5" t="str">
        <v>02</v>
      </c>
      <c r="T19" s="5" t="str">
        <v>20</v>
      </c>
      <c r="U19" s="5" t="str">
        <v>e0</v>
      </c>
      <c r="V19" s="5" t="str">
        <v>04</v>
      </c>
      <c r="W19" s="5" t="str">
        <v>00</v>
      </c>
      <c r="X19" s="5" t="str">
        <v>49</v>
      </c>
      <c r="Y19" s="8" t="str">
        <v>2e</v>
      </c>
      <c r="Z19" s="5" t="str">
        <v>80</v>
      </c>
      <c r="AA19" s="5" t="str">
        <v>af</v>
      </c>
      <c r="AB19" s="5" t="str">
        <v>0d</v>
      </c>
      <c r="AC19" s="5" t="str">
        <v>00</v>
      </c>
      <c r="AD19" s="5" t="str">
        <v>0e</v>
      </c>
      <c r="AE19" s="5" t="str">
        <v>e0</v>
      </c>
      <c r="AF19" s="5" t="str">
        <v>00</v>
      </c>
      <c r="AG19" s="5" t="str">
        <v>00</v>
      </c>
      <c r="AH19" s="5" t="str">
        <v>89</v>
      </c>
      <c r="AI19" s="5" t="str">
        <v>00</v>
      </c>
      <c r="AJ19" s="5" t="str">
        <v>00</v>
      </c>
      <c r="AK19" s="5" t="str">
        <v>30</v>
      </c>
    </row>
    <row r="20" spans="1:37" ht="22" customHeight="1" x14ac:dyDescent="0.3">
      <c r="A20" s="2" t="s">
        <v>2</v>
      </c>
      <c r="B20" s="2" t="s">
        <v>3</v>
      </c>
      <c r="C20" s="2">
        <v>23.5</v>
      </c>
      <c r="D20" s="2" t="s">
        <v>3</v>
      </c>
      <c r="E20" s="2" t="s">
        <v>3</v>
      </c>
      <c r="F20" s="5" t="s">
        <v>182</v>
      </c>
      <c r="G20" s="5" t="s">
        <v>183</v>
      </c>
      <c r="H20" s="2" t="str" cm="1">
        <f t="array" ref="H20">_xlfn.LET(
  _xlpm.parts, _xlfn.TEXTSPLIT(G20, " "),
  _xlpm.count, COUNTA(_xlpm.parts),
  _xlpm.sum, SUM(--HEX2DEC(INDEX(_xlpm.parts, _xlfn.SEQUENCE(_xlpm.count - 1)))),
  "Dec: " &amp; _xlpm.sum &amp; " | Hex: " &amp; DEC2HEX(_xlpm.sum)
)</f>
        <v>Dec: 1341 | Hex: 53D</v>
      </c>
      <c r="I20" s="2" t="str">
        <f t="shared" si="0"/>
        <v>31</v>
      </c>
      <c r="J20" s="2" t="b">
        <f t="shared" si="1"/>
        <v>1</v>
      </c>
      <c r="K20" s="5" t="str" cm="1">
        <f t="array" ref="K20:AK20">_xlfn.TEXTSPLIT(G20, " ")</f>
        <v>02</v>
      </c>
      <c r="L20" s="5" t="str">
        <v>20</v>
      </c>
      <c r="M20" s="5" t="str">
        <v>e0</v>
      </c>
      <c r="N20" s="5" t="str">
        <v>04</v>
      </c>
      <c r="O20" s="5" t="str">
        <v>00</v>
      </c>
      <c r="P20" s="5" t="str">
        <v>00</v>
      </c>
      <c r="Q20" s="5" t="str">
        <v>00</v>
      </c>
      <c r="R20" s="5" t="str">
        <v>06</v>
      </c>
      <c r="S20" s="5" t="str">
        <v>02</v>
      </c>
      <c r="T20" s="5" t="str">
        <v>20</v>
      </c>
      <c r="U20" s="5" t="str">
        <v>e0</v>
      </c>
      <c r="V20" s="5" t="str">
        <v>04</v>
      </c>
      <c r="W20" s="5" t="str">
        <v>00</v>
      </c>
      <c r="X20" s="5" t="str">
        <v>49</v>
      </c>
      <c r="Y20" s="8" t="str">
        <v>2f</v>
      </c>
      <c r="Z20" s="5" t="str">
        <v>80</v>
      </c>
      <c r="AA20" s="5" t="str">
        <v>af</v>
      </c>
      <c r="AB20" s="5" t="str">
        <v>0d</v>
      </c>
      <c r="AC20" s="5" t="str">
        <v>00</v>
      </c>
      <c r="AD20" s="5" t="str">
        <v>0e</v>
      </c>
      <c r="AE20" s="5" t="str">
        <v>e0</v>
      </c>
      <c r="AF20" s="5" t="str">
        <v>00</v>
      </c>
      <c r="AG20" s="5" t="str">
        <v>00</v>
      </c>
      <c r="AH20" s="5" t="str">
        <v>89</v>
      </c>
      <c r="AI20" s="5" t="str">
        <v>00</v>
      </c>
      <c r="AJ20" s="5" t="str">
        <v>00</v>
      </c>
      <c r="AK20" s="5" t="str">
        <v>31</v>
      </c>
    </row>
    <row r="21" spans="1:37" ht="22" customHeight="1" x14ac:dyDescent="0.3">
      <c r="A21" s="2" t="s">
        <v>2</v>
      </c>
      <c r="B21" s="2" t="s">
        <v>3</v>
      </c>
      <c r="C21" s="2">
        <v>24</v>
      </c>
      <c r="D21" s="2" t="s">
        <v>3</v>
      </c>
      <c r="E21" s="2" t="s">
        <v>3</v>
      </c>
      <c r="F21" s="5" t="s">
        <v>185</v>
      </c>
      <c r="G21" s="5" t="s">
        <v>184</v>
      </c>
      <c r="H21" s="2" t="str" cm="1">
        <f t="array" ref="H21">_xlfn.LET(
  _xlpm.parts, _xlfn.TEXTSPLIT(G21, " "),
  _xlpm.count, COUNTA(_xlpm.parts),
  _xlpm.sum, SUM(--HEX2DEC(INDEX(_xlpm.parts, _xlfn.SEQUENCE(_xlpm.count - 1)))),
  "Dec: " &amp; _xlpm.sum &amp; " | Hex: " &amp; DEC2HEX(_xlpm.sum)
)</f>
        <v>Dec: 1342 | Hex: 53E</v>
      </c>
      <c r="I21" s="2" t="str">
        <f t="shared" si="0"/>
        <v>32</v>
      </c>
      <c r="J21" s="2" t="b">
        <f t="shared" si="1"/>
        <v>1</v>
      </c>
      <c r="K21" s="5" t="str" cm="1">
        <f t="array" ref="K21:AK21">_xlfn.TEXTSPLIT(G21, " ")</f>
        <v>02</v>
      </c>
      <c r="L21" s="5" t="str">
        <v>20</v>
      </c>
      <c r="M21" s="5" t="str">
        <v>e0</v>
      </c>
      <c r="N21" s="5" t="str">
        <v>04</v>
      </c>
      <c r="O21" s="5" t="str">
        <v>00</v>
      </c>
      <c r="P21" s="5" t="str">
        <v>00</v>
      </c>
      <c r="Q21" s="5" t="str">
        <v>00</v>
      </c>
      <c r="R21" s="5" t="str">
        <v>06</v>
      </c>
      <c r="S21" s="5" t="str">
        <v>02</v>
      </c>
      <c r="T21" s="5" t="str">
        <v>20</v>
      </c>
      <c r="U21" s="5" t="str">
        <v>e0</v>
      </c>
      <c r="V21" s="5" t="str">
        <v>04</v>
      </c>
      <c r="W21" s="5" t="str">
        <v>00</v>
      </c>
      <c r="X21" s="5" t="str">
        <v>49</v>
      </c>
      <c r="Y21" s="8" t="str">
        <v>30</v>
      </c>
      <c r="Z21" s="5" t="str">
        <v>80</v>
      </c>
      <c r="AA21" s="5" t="str">
        <v>af</v>
      </c>
      <c r="AB21" s="5" t="str">
        <v>0d</v>
      </c>
      <c r="AC21" s="5" t="str">
        <v>00</v>
      </c>
      <c r="AD21" s="5" t="str">
        <v>0e</v>
      </c>
      <c r="AE21" s="5" t="str">
        <v>e0</v>
      </c>
      <c r="AF21" s="5" t="str">
        <v>00</v>
      </c>
      <c r="AG21" s="5" t="str">
        <v>00</v>
      </c>
      <c r="AH21" s="5" t="str">
        <v>89</v>
      </c>
      <c r="AI21" s="5" t="str">
        <v>00</v>
      </c>
      <c r="AJ21" s="5" t="str">
        <v>00</v>
      </c>
      <c r="AK21" s="5" t="str">
        <v>32</v>
      </c>
    </row>
    <row r="22" spans="1:37" ht="22" customHeight="1" x14ac:dyDescent="0.3">
      <c r="A22" s="2" t="s">
        <v>2</v>
      </c>
      <c r="B22" s="2" t="s">
        <v>3</v>
      </c>
      <c r="C22" s="2">
        <v>24.5</v>
      </c>
      <c r="D22" s="2" t="s">
        <v>3</v>
      </c>
      <c r="E22" s="2" t="s">
        <v>3</v>
      </c>
      <c r="F22" s="5" t="s">
        <v>186</v>
      </c>
      <c r="G22" s="5" t="s">
        <v>187</v>
      </c>
      <c r="H22" s="2" t="str" cm="1">
        <f t="array" ref="H22">_xlfn.LET(
  _xlpm.parts, _xlfn.TEXTSPLIT(G22, " "),
  _xlpm.count, COUNTA(_xlpm.parts),
  _xlpm.sum, SUM(--HEX2DEC(INDEX(_xlpm.parts, _xlfn.SEQUENCE(_xlpm.count - 1)))),
  "Dec: " &amp; _xlpm.sum &amp; " | Hex: " &amp; DEC2HEX(_xlpm.sum)
)</f>
        <v>Dec: 1343 | Hex: 53F</v>
      </c>
      <c r="I22" s="2" t="str">
        <f t="shared" si="0"/>
        <v>33</v>
      </c>
      <c r="J22" s="2" t="b">
        <f t="shared" si="1"/>
        <v>1</v>
      </c>
      <c r="K22" s="5" t="str" cm="1">
        <f t="array" ref="K22:AK22">_xlfn.TEXTSPLIT(G22, " ")</f>
        <v>02</v>
      </c>
      <c r="L22" s="5" t="str">
        <v>20</v>
      </c>
      <c r="M22" s="5" t="str">
        <v>e0</v>
      </c>
      <c r="N22" s="5" t="str">
        <v>04</v>
      </c>
      <c r="O22" s="5" t="str">
        <v>00</v>
      </c>
      <c r="P22" s="5" t="str">
        <v>00</v>
      </c>
      <c r="Q22" s="5" t="str">
        <v>00</v>
      </c>
      <c r="R22" s="5" t="str">
        <v>06</v>
      </c>
      <c r="S22" s="5" t="str">
        <v>02</v>
      </c>
      <c r="T22" s="5" t="str">
        <v>20</v>
      </c>
      <c r="U22" s="5" t="str">
        <v>e0</v>
      </c>
      <c r="V22" s="5" t="str">
        <v>04</v>
      </c>
      <c r="W22" s="5" t="str">
        <v>00</v>
      </c>
      <c r="X22" s="5" t="str">
        <v>49</v>
      </c>
      <c r="Y22" s="8" t="str">
        <v>31</v>
      </c>
      <c r="Z22" s="5" t="str">
        <v>80</v>
      </c>
      <c r="AA22" s="5" t="str">
        <v>af</v>
      </c>
      <c r="AB22" s="5" t="str">
        <v>0d</v>
      </c>
      <c r="AC22" s="5" t="str">
        <v>00</v>
      </c>
      <c r="AD22" s="5" t="str">
        <v>0e</v>
      </c>
      <c r="AE22" s="5" t="str">
        <v>e0</v>
      </c>
      <c r="AF22" s="5" t="str">
        <v>00</v>
      </c>
      <c r="AG22" s="5" t="str">
        <v>00</v>
      </c>
      <c r="AH22" s="5" t="str">
        <v>89</v>
      </c>
      <c r="AI22" s="5" t="str">
        <v>00</v>
      </c>
      <c r="AJ22" s="5" t="str">
        <v>00</v>
      </c>
      <c r="AK22" s="5" t="str">
        <v>33</v>
      </c>
    </row>
    <row r="23" spans="1:37" ht="22" customHeight="1" x14ac:dyDescent="0.3">
      <c r="A23" s="2" t="s">
        <v>2</v>
      </c>
      <c r="B23" s="2" t="s">
        <v>3</v>
      </c>
      <c r="C23" s="2">
        <v>25</v>
      </c>
      <c r="D23" s="2" t="s">
        <v>3</v>
      </c>
      <c r="E23" s="2" t="s">
        <v>3</v>
      </c>
      <c r="F23" s="5" t="s">
        <v>188</v>
      </c>
      <c r="G23" s="5" t="s">
        <v>189</v>
      </c>
      <c r="H23" s="2" t="str" cm="1">
        <f t="array" ref="H23">_xlfn.LET(
  _xlpm.parts, _xlfn.TEXTSPLIT(G23, " "),
  _xlpm.count, COUNTA(_xlpm.parts),
  _xlpm.sum, SUM(--HEX2DEC(INDEX(_xlpm.parts, _xlfn.SEQUENCE(_xlpm.count - 1)))),
  "Dec: " &amp; _xlpm.sum &amp; " | Hex: " &amp; DEC2HEX(_xlpm.sum)
)</f>
        <v>Dec: 1344 | Hex: 540</v>
      </c>
      <c r="I23" s="2" t="str">
        <f t="shared" si="0"/>
        <v>34</v>
      </c>
      <c r="J23" s="2" t="b">
        <f t="shared" si="1"/>
        <v>1</v>
      </c>
      <c r="K23" s="5" t="str" cm="1">
        <f t="array" ref="K23:AK23">_xlfn.TEXTSPLIT(G23, " ")</f>
        <v>02</v>
      </c>
      <c r="L23" s="5" t="str">
        <v>20</v>
      </c>
      <c r="M23" s="5" t="str">
        <v>e0</v>
      </c>
      <c r="N23" s="5" t="str">
        <v>04</v>
      </c>
      <c r="O23" s="5" t="str">
        <v>00</v>
      </c>
      <c r="P23" s="5" t="str">
        <v>00</v>
      </c>
      <c r="Q23" s="5" t="str">
        <v>00</v>
      </c>
      <c r="R23" s="5" t="str">
        <v>06</v>
      </c>
      <c r="S23" s="5" t="str">
        <v>02</v>
      </c>
      <c r="T23" s="5" t="str">
        <v>20</v>
      </c>
      <c r="U23" s="5" t="str">
        <v>e0</v>
      </c>
      <c r="V23" s="5" t="str">
        <v>04</v>
      </c>
      <c r="W23" s="5" t="str">
        <v>00</v>
      </c>
      <c r="X23" s="5" t="str">
        <v>49</v>
      </c>
      <c r="Y23" s="8" t="str">
        <v>32</v>
      </c>
      <c r="Z23" s="5" t="str">
        <v>80</v>
      </c>
      <c r="AA23" s="5" t="str">
        <v>af</v>
      </c>
      <c r="AB23" s="5" t="str">
        <v>0d</v>
      </c>
      <c r="AC23" s="5" t="str">
        <v>00</v>
      </c>
      <c r="AD23" s="5" t="str">
        <v>0e</v>
      </c>
      <c r="AE23" s="5" t="str">
        <v>e0</v>
      </c>
      <c r="AF23" s="5" t="str">
        <v>00</v>
      </c>
      <c r="AG23" s="5" t="str">
        <v>00</v>
      </c>
      <c r="AH23" s="5" t="str">
        <v>89</v>
      </c>
      <c r="AI23" s="5" t="str">
        <v>00</v>
      </c>
      <c r="AJ23" s="5" t="str">
        <v>00</v>
      </c>
      <c r="AK23" s="5" t="str">
        <v>34</v>
      </c>
    </row>
    <row r="24" spans="1:37" ht="22" customHeight="1" x14ac:dyDescent="0.3">
      <c r="A24" s="2" t="s">
        <v>2</v>
      </c>
      <c r="B24" s="2" t="s">
        <v>3</v>
      </c>
      <c r="C24" s="2">
        <v>25.5</v>
      </c>
      <c r="D24" s="2" t="s">
        <v>3</v>
      </c>
      <c r="E24" s="2" t="s">
        <v>3</v>
      </c>
      <c r="F24" s="5" t="s">
        <v>190</v>
      </c>
      <c r="G24" s="5" t="s">
        <v>191</v>
      </c>
      <c r="H24" s="2" t="str" cm="1">
        <f t="array" ref="H24">_xlfn.LET(
  _xlpm.parts, _xlfn.TEXTSPLIT(G24, " "),
  _xlpm.count, COUNTA(_xlpm.parts),
  _xlpm.sum, SUM(--HEX2DEC(INDEX(_xlpm.parts, _xlfn.SEQUENCE(_xlpm.count - 1)))),
  "Dec: " &amp; _xlpm.sum &amp; " | Hex: " &amp; DEC2HEX(_xlpm.sum)
)</f>
        <v>Dec: 1345 | Hex: 541</v>
      </c>
      <c r="I24" s="2" t="str">
        <f t="shared" si="0"/>
        <v>35</v>
      </c>
      <c r="J24" s="2" t="b">
        <f t="shared" si="1"/>
        <v>1</v>
      </c>
      <c r="K24" s="5" t="str" cm="1">
        <f t="array" ref="K24:AK24">_xlfn.TEXTSPLIT(G24, " ")</f>
        <v>02</v>
      </c>
      <c r="L24" s="5" t="str">
        <v>20</v>
      </c>
      <c r="M24" s="5" t="str">
        <v>e0</v>
      </c>
      <c r="N24" s="5" t="str">
        <v>04</v>
      </c>
      <c r="O24" s="5" t="str">
        <v>00</v>
      </c>
      <c r="P24" s="5" t="str">
        <v>00</v>
      </c>
      <c r="Q24" s="5" t="str">
        <v>00</v>
      </c>
      <c r="R24" s="5" t="str">
        <v>06</v>
      </c>
      <c r="S24" s="5" t="str">
        <v>02</v>
      </c>
      <c r="T24" s="5" t="str">
        <v>20</v>
      </c>
      <c r="U24" s="5" t="str">
        <v>e0</v>
      </c>
      <c r="V24" s="5" t="str">
        <v>04</v>
      </c>
      <c r="W24" s="5" t="str">
        <v>00</v>
      </c>
      <c r="X24" s="5" t="str">
        <v>49</v>
      </c>
      <c r="Y24" s="8" t="str">
        <v>33</v>
      </c>
      <c r="Z24" s="5" t="str">
        <v>80</v>
      </c>
      <c r="AA24" s="5" t="str">
        <v>af</v>
      </c>
      <c r="AB24" s="5" t="str">
        <v>0d</v>
      </c>
      <c r="AC24" s="5" t="str">
        <v>00</v>
      </c>
      <c r="AD24" s="5" t="str">
        <v>0e</v>
      </c>
      <c r="AE24" s="5" t="str">
        <v>e0</v>
      </c>
      <c r="AF24" s="5" t="str">
        <v>00</v>
      </c>
      <c r="AG24" s="5" t="str">
        <v>00</v>
      </c>
      <c r="AH24" s="5" t="str">
        <v>89</v>
      </c>
      <c r="AI24" s="5" t="str">
        <v>00</v>
      </c>
      <c r="AJ24" s="5" t="str">
        <v>00</v>
      </c>
      <c r="AK24" s="5" t="str">
        <v>35</v>
      </c>
    </row>
    <row r="25" spans="1:37" ht="22" customHeight="1" x14ac:dyDescent="0.3">
      <c r="A25" s="2" t="s">
        <v>2</v>
      </c>
      <c r="B25" s="2" t="s">
        <v>3</v>
      </c>
      <c r="C25" s="2">
        <v>26</v>
      </c>
      <c r="D25" s="2" t="s">
        <v>3</v>
      </c>
      <c r="E25" s="2" t="s">
        <v>3</v>
      </c>
      <c r="F25" s="5" t="s">
        <v>192</v>
      </c>
      <c r="G25" s="5" t="s">
        <v>193</v>
      </c>
      <c r="H25" s="2" t="str" cm="1">
        <f t="array" ref="H25">_xlfn.LET(
  _xlpm.parts, _xlfn.TEXTSPLIT(G25, " "),
  _xlpm.count, COUNTA(_xlpm.parts),
  _xlpm.sum, SUM(--HEX2DEC(INDEX(_xlpm.parts, _xlfn.SEQUENCE(_xlpm.count - 1)))),
  "Dec: " &amp; _xlpm.sum &amp; " | Hex: " &amp; DEC2HEX(_xlpm.sum)
)</f>
        <v>Dec: 1346 | Hex: 542</v>
      </c>
      <c r="I25" s="2" t="str">
        <f t="shared" si="0"/>
        <v>36</v>
      </c>
      <c r="J25" s="2" t="b">
        <f t="shared" si="1"/>
        <v>1</v>
      </c>
      <c r="K25" s="5" t="str" cm="1">
        <f t="array" ref="K25:AK25">_xlfn.TEXTSPLIT(G25, " ")</f>
        <v>02</v>
      </c>
      <c r="L25" s="5" t="str">
        <v>20</v>
      </c>
      <c r="M25" s="5" t="str">
        <v>e0</v>
      </c>
      <c r="N25" s="5" t="str">
        <v>04</v>
      </c>
      <c r="O25" s="5" t="str">
        <v>00</v>
      </c>
      <c r="P25" s="5" t="str">
        <v>00</v>
      </c>
      <c r="Q25" s="5" t="str">
        <v>00</v>
      </c>
      <c r="R25" s="5" t="str">
        <v>06</v>
      </c>
      <c r="S25" s="5" t="str">
        <v>02</v>
      </c>
      <c r="T25" s="5" t="str">
        <v>20</v>
      </c>
      <c r="U25" s="5" t="str">
        <v>e0</v>
      </c>
      <c r="V25" s="5" t="str">
        <v>04</v>
      </c>
      <c r="W25" s="5" t="str">
        <v>00</v>
      </c>
      <c r="X25" s="5" t="str">
        <v>49</v>
      </c>
      <c r="Y25" s="8" t="str">
        <v>34</v>
      </c>
      <c r="Z25" s="5" t="str">
        <v>80</v>
      </c>
      <c r="AA25" s="5" t="str">
        <v>af</v>
      </c>
      <c r="AB25" s="5" t="str">
        <v>0d</v>
      </c>
      <c r="AC25" s="5" t="str">
        <v>00</v>
      </c>
      <c r="AD25" s="5" t="str">
        <v>0e</v>
      </c>
      <c r="AE25" s="5" t="str">
        <v>e0</v>
      </c>
      <c r="AF25" s="5" t="str">
        <v>00</v>
      </c>
      <c r="AG25" s="5" t="str">
        <v>00</v>
      </c>
      <c r="AH25" s="5" t="str">
        <v>89</v>
      </c>
      <c r="AI25" s="5" t="str">
        <v>00</v>
      </c>
      <c r="AJ25" s="5" t="str">
        <v>00</v>
      </c>
      <c r="AK25" s="5" t="str">
        <v>36</v>
      </c>
    </row>
    <row r="26" spans="1:37" ht="22" customHeight="1" x14ac:dyDescent="0.3">
      <c r="A26" s="2" t="s">
        <v>2</v>
      </c>
      <c r="B26" s="2" t="s">
        <v>3</v>
      </c>
      <c r="C26" s="2">
        <v>26.5</v>
      </c>
      <c r="D26" s="2" t="s">
        <v>3</v>
      </c>
      <c r="E26" s="2" t="s">
        <v>3</v>
      </c>
      <c r="F26" s="5" t="s">
        <v>194</v>
      </c>
      <c r="G26" s="5" t="s">
        <v>195</v>
      </c>
      <c r="H26" s="2" t="str" cm="1">
        <f t="array" ref="H26">_xlfn.LET(
  _xlpm.parts, _xlfn.TEXTSPLIT(G26, " "),
  _xlpm.count, COUNTA(_xlpm.parts),
  _xlpm.sum, SUM(--HEX2DEC(INDEX(_xlpm.parts, _xlfn.SEQUENCE(_xlpm.count - 1)))),
  "Dec: " &amp; _xlpm.sum &amp; " | Hex: " &amp; DEC2HEX(_xlpm.sum)
)</f>
        <v>Dec: 1347 | Hex: 543</v>
      </c>
      <c r="I26" s="2" t="str">
        <f t="shared" si="0"/>
        <v>37</v>
      </c>
      <c r="J26" s="2" t="b">
        <f t="shared" si="1"/>
        <v>1</v>
      </c>
      <c r="K26" s="5" t="str" cm="1">
        <f t="array" ref="K26:AK26">_xlfn.TEXTSPLIT(G26, " ")</f>
        <v>02</v>
      </c>
      <c r="L26" s="5" t="str">
        <v>20</v>
      </c>
      <c r="M26" s="5" t="str">
        <v>e0</v>
      </c>
      <c r="N26" s="5" t="str">
        <v>04</v>
      </c>
      <c r="O26" s="5" t="str">
        <v>00</v>
      </c>
      <c r="P26" s="5" t="str">
        <v>00</v>
      </c>
      <c r="Q26" s="5" t="str">
        <v>00</v>
      </c>
      <c r="R26" s="5" t="str">
        <v>06</v>
      </c>
      <c r="S26" s="5" t="str">
        <v>02</v>
      </c>
      <c r="T26" s="5" t="str">
        <v>20</v>
      </c>
      <c r="U26" s="5" t="str">
        <v>e0</v>
      </c>
      <c r="V26" s="5" t="str">
        <v>04</v>
      </c>
      <c r="W26" s="5" t="str">
        <v>00</v>
      </c>
      <c r="X26" s="5" t="str">
        <v>49</v>
      </c>
      <c r="Y26" s="8" t="str">
        <v>35</v>
      </c>
      <c r="Z26" s="5" t="str">
        <v>80</v>
      </c>
      <c r="AA26" s="5" t="str">
        <v>af</v>
      </c>
      <c r="AB26" s="5" t="str">
        <v>0d</v>
      </c>
      <c r="AC26" s="5" t="str">
        <v>00</v>
      </c>
      <c r="AD26" s="5" t="str">
        <v>0e</v>
      </c>
      <c r="AE26" s="5" t="str">
        <v>e0</v>
      </c>
      <c r="AF26" s="5" t="str">
        <v>00</v>
      </c>
      <c r="AG26" s="5" t="str">
        <v>00</v>
      </c>
      <c r="AH26" s="5" t="str">
        <v>89</v>
      </c>
      <c r="AI26" s="5" t="str">
        <v>00</v>
      </c>
      <c r="AJ26" s="5" t="str">
        <v>00</v>
      </c>
      <c r="AK26" s="5" t="str">
        <v>37</v>
      </c>
    </row>
    <row r="27" spans="1:37" ht="22" customHeight="1" x14ac:dyDescent="0.3">
      <c r="A27" s="2" t="s">
        <v>2</v>
      </c>
      <c r="B27" s="2" t="s">
        <v>3</v>
      </c>
      <c r="C27" s="2">
        <v>27</v>
      </c>
      <c r="D27" s="2" t="s">
        <v>3</v>
      </c>
      <c r="E27" s="2" t="s">
        <v>3</v>
      </c>
      <c r="F27" s="5" t="s">
        <v>196</v>
      </c>
      <c r="G27" s="5" t="s">
        <v>197</v>
      </c>
      <c r="H27" s="2" t="str" cm="1">
        <f t="array" ref="H27">_xlfn.LET(
  _xlpm.parts, _xlfn.TEXTSPLIT(G27, " "),
  _xlpm.count, COUNTA(_xlpm.parts),
  _xlpm.sum, SUM(--HEX2DEC(INDEX(_xlpm.parts, _xlfn.SEQUENCE(_xlpm.count - 1)))),
  "Dec: " &amp; _xlpm.sum &amp; " | Hex: " &amp; DEC2HEX(_xlpm.sum)
)</f>
        <v>Dec: 1348 | Hex: 544</v>
      </c>
      <c r="I27" s="2" t="str">
        <f t="shared" si="0"/>
        <v>38</v>
      </c>
      <c r="J27" s="2" t="b">
        <f t="shared" si="1"/>
        <v>1</v>
      </c>
      <c r="K27" s="5" t="str" cm="1">
        <f t="array" ref="K27:AK27">_xlfn.TEXTSPLIT(G27, " ")</f>
        <v>02</v>
      </c>
      <c r="L27" s="5" t="str">
        <v>20</v>
      </c>
      <c r="M27" s="5" t="str">
        <v>e0</v>
      </c>
      <c r="N27" s="5" t="str">
        <v>04</v>
      </c>
      <c r="O27" s="5" t="str">
        <v>00</v>
      </c>
      <c r="P27" s="5" t="str">
        <v>00</v>
      </c>
      <c r="Q27" s="5" t="str">
        <v>00</v>
      </c>
      <c r="R27" s="5" t="str">
        <v>06</v>
      </c>
      <c r="S27" s="5" t="str">
        <v>02</v>
      </c>
      <c r="T27" s="5" t="str">
        <v>20</v>
      </c>
      <c r="U27" s="5" t="str">
        <v>e0</v>
      </c>
      <c r="V27" s="5" t="str">
        <v>04</v>
      </c>
      <c r="W27" s="5" t="str">
        <v>00</v>
      </c>
      <c r="X27" s="5" t="str">
        <v>49</v>
      </c>
      <c r="Y27" s="8" t="str">
        <v>36</v>
      </c>
      <c r="Z27" s="5" t="str">
        <v>80</v>
      </c>
      <c r="AA27" s="5" t="str">
        <v>af</v>
      </c>
      <c r="AB27" s="5" t="str">
        <v>0d</v>
      </c>
      <c r="AC27" s="5" t="str">
        <v>00</v>
      </c>
      <c r="AD27" s="5" t="str">
        <v>0e</v>
      </c>
      <c r="AE27" s="5" t="str">
        <v>e0</v>
      </c>
      <c r="AF27" s="5" t="str">
        <v>00</v>
      </c>
      <c r="AG27" s="5" t="str">
        <v>00</v>
      </c>
      <c r="AH27" s="5" t="str">
        <v>89</v>
      </c>
      <c r="AI27" s="5" t="str">
        <v>00</v>
      </c>
      <c r="AJ27" s="5" t="str">
        <v>00</v>
      </c>
      <c r="AK27" s="5" t="str">
        <v>38</v>
      </c>
    </row>
    <row r="28" spans="1:37" ht="22" customHeight="1" x14ac:dyDescent="0.3">
      <c r="A28" s="2" t="s">
        <v>2</v>
      </c>
      <c r="B28" s="2" t="s">
        <v>3</v>
      </c>
      <c r="C28" s="2">
        <v>27.5</v>
      </c>
      <c r="D28" s="2" t="s">
        <v>3</v>
      </c>
      <c r="E28" s="2" t="s">
        <v>3</v>
      </c>
      <c r="F28" s="5" t="s">
        <v>198</v>
      </c>
      <c r="G28" s="5" t="s">
        <v>199</v>
      </c>
      <c r="H28" s="2" t="str" cm="1">
        <f t="array" ref="H28">_xlfn.LET(
  _xlpm.parts, _xlfn.TEXTSPLIT(G28, " "),
  _xlpm.count, COUNTA(_xlpm.parts),
  _xlpm.sum, SUM(--HEX2DEC(INDEX(_xlpm.parts, _xlfn.SEQUENCE(_xlpm.count - 1)))),
  "Dec: " &amp; _xlpm.sum &amp; " | Hex: " &amp; DEC2HEX(_xlpm.sum)
)</f>
        <v>Dec: 1349 | Hex: 545</v>
      </c>
      <c r="I28" s="2" t="str">
        <f t="shared" si="0"/>
        <v>39</v>
      </c>
      <c r="J28" s="2" t="b">
        <f t="shared" si="1"/>
        <v>1</v>
      </c>
      <c r="K28" s="5" t="str" cm="1">
        <f t="array" ref="K28:AK28">_xlfn.TEXTSPLIT(G28, " ")</f>
        <v>02</v>
      </c>
      <c r="L28" s="5" t="str">
        <v>20</v>
      </c>
      <c r="M28" s="5" t="str">
        <v>e0</v>
      </c>
      <c r="N28" s="5" t="str">
        <v>04</v>
      </c>
      <c r="O28" s="5" t="str">
        <v>00</v>
      </c>
      <c r="P28" s="5" t="str">
        <v>00</v>
      </c>
      <c r="Q28" s="5" t="str">
        <v>00</v>
      </c>
      <c r="R28" s="5" t="str">
        <v>06</v>
      </c>
      <c r="S28" s="5" t="str">
        <v>02</v>
      </c>
      <c r="T28" s="5" t="str">
        <v>20</v>
      </c>
      <c r="U28" s="5" t="str">
        <v>e0</v>
      </c>
      <c r="V28" s="5" t="str">
        <v>04</v>
      </c>
      <c r="W28" s="5" t="str">
        <v>00</v>
      </c>
      <c r="X28" s="5" t="str">
        <v>49</v>
      </c>
      <c r="Y28" s="8" t="str">
        <v>37</v>
      </c>
      <c r="Z28" s="5" t="str">
        <v>80</v>
      </c>
      <c r="AA28" s="5" t="str">
        <v>af</v>
      </c>
      <c r="AB28" s="5" t="str">
        <v>0d</v>
      </c>
      <c r="AC28" s="5" t="str">
        <v>00</v>
      </c>
      <c r="AD28" s="5" t="str">
        <v>0e</v>
      </c>
      <c r="AE28" s="5" t="str">
        <v>e0</v>
      </c>
      <c r="AF28" s="5" t="str">
        <v>00</v>
      </c>
      <c r="AG28" s="5" t="str">
        <v>00</v>
      </c>
      <c r="AH28" s="5" t="str">
        <v>89</v>
      </c>
      <c r="AI28" s="5" t="str">
        <v>00</v>
      </c>
      <c r="AJ28" s="5" t="str">
        <v>00</v>
      </c>
      <c r="AK28" s="5" t="str">
        <v>39</v>
      </c>
    </row>
    <row r="29" spans="1:37" ht="22" customHeight="1" x14ac:dyDescent="0.3">
      <c r="A29" s="2" t="s">
        <v>2</v>
      </c>
      <c r="B29" s="2" t="s">
        <v>3</v>
      </c>
      <c r="C29" s="2">
        <v>28</v>
      </c>
      <c r="D29" s="2" t="s">
        <v>3</v>
      </c>
      <c r="E29" s="2" t="s">
        <v>3</v>
      </c>
      <c r="F29" s="5" t="s">
        <v>200</v>
      </c>
      <c r="G29" s="5" t="s">
        <v>201</v>
      </c>
      <c r="H29" s="2" t="str" cm="1">
        <f t="array" ref="H29">_xlfn.LET(
  _xlpm.parts, _xlfn.TEXTSPLIT(G29, " "),
  _xlpm.count, COUNTA(_xlpm.parts),
  _xlpm.sum, SUM(--HEX2DEC(INDEX(_xlpm.parts, _xlfn.SEQUENCE(_xlpm.count - 1)))),
  "Dec: " &amp; _xlpm.sum &amp; " | Hex: " &amp; DEC2HEX(_xlpm.sum)
)</f>
        <v>Dec: 1350 | Hex: 546</v>
      </c>
      <c r="I29" s="2" t="str">
        <f t="shared" si="0"/>
        <v>3A</v>
      </c>
      <c r="J29" s="2" t="b">
        <f t="shared" si="1"/>
        <v>1</v>
      </c>
      <c r="K29" s="5" t="str" cm="1">
        <f t="array" ref="K29:AK29">_xlfn.TEXTSPLIT(G29, " ")</f>
        <v>02</v>
      </c>
      <c r="L29" s="5" t="str">
        <v>20</v>
      </c>
      <c r="M29" s="5" t="str">
        <v>e0</v>
      </c>
      <c r="N29" s="5" t="str">
        <v>04</v>
      </c>
      <c r="O29" s="5" t="str">
        <v>00</v>
      </c>
      <c r="P29" s="5" t="str">
        <v>00</v>
      </c>
      <c r="Q29" s="5" t="str">
        <v>00</v>
      </c>
      <c r="R29" s="5" t="str">
        <v>06</v>
      </c>
      <c r="S29" s="5" t="str">
        <v>02</v>
      </c>
      <c r="T29" s="5" t="str">
        <v>20</v>
      </c>
      <c r="U29" s="5" t="str">
        <v>e0</v>
      </c>
      <c r="V29" s="5" t="str">
        <v>04</v>
      </c>
      <c r="W29" s="5" t="str">
        <v>00</v>
      </c>
      <c r="X29" s="5" t="str">
        <v>49</v>
      </c>
      <c r="Y29" s="8" t="str">
        <v>38</v>
      </c>
      <c r="Z29" s="5" t="str">
        <v>80</v>
      </c>
      <c r="AA29" s="5" t="str">
        <v>af</v>
      </c>
      <c r="AB29" s="5" t="str">
        <v>0d</v>
      </c>
      <c r="AC29" s="5" t="str">
        <v>00</v>
      </c>
      <c r="AD29" s="5" t="str">
        <v>0e</v>
      </c>
      <c r="AE29" s="5" t="str">
        <v>e0</v>
      </c>
      <c r="AF29" s="5" t="str">
        <v>00</v>
      </c>
      <c r="AG29" s="5" t="str">
        <v>00</v>
      </c>
      <c r="AH29" s="5" t="str">
        <v>89</v>
      </c>
      <c r="AI29" s="5" t="str">
        <v>00</v>
      </c>
      <c r="AJ29" s="5" t="str">
        <v>00</v>
      </c>
      <c r="AK29" s="5" t="str">
        <v>3a</v>
      </c>
    </row>
    <row r="30" spans="1:37" ht="22" customHeight="1" x14ac:dyDescent="0.3">
      <c r="A30" s="2" t="s">
        <v>2</v>
      </c>
      <c r="B30" s="2" t="s">
        <v>3</v>
      </c>
      <c r="C30" s="2">
        <v>28.5</v>
      </c>
      <c r="D30" s="2" t="s">
        <v>3</v>
      </c>
      <c r="E30" s="2" t="s">
        <v>3</v>
      </c>
      <c r="F30" s="5" t="s">
        <v>202</v>
      </c>
      <c r="G30" s="5" t="s">
        <v>203</v>
      </c>
      <c r="H30" s="2" t="str" cm="1">
        <f t="array" ref="H30">_xlfn.LET(
  _xlpm.parts, _xlfn.TEXTSPLIT(G30, " "),
  _xlpm.count, COUNTA(_xlpm.parts),
  _xlpm.sum, SUM(--HEX2DEC(INDEX(_xlpm.parts, _xlfn.SEQUENCE(_xlpm.count - 1)))),
  "Dec: " &amp; _xlpm.sum &amp; " | Hex: " &amp; DEC2HEX(_xlpm.sum)
)</f>
        <v>Dec: 1351 | Hex: 547</v>
      </c>
      <c r="I30" s="2" t="str">
        <f t="shared" si="0"/>
        <v>3B</v>
      </c>
      <c r="J30" s="2" t="b">
        <f t="shared" si="1"/>
        <v>1</v>
      </c>
      <c r="K30" s="5" t="str" cm="1">
        <f t="array" ref="K30:AK30">_xlfn.TEXTSPLIT(G30, " ")</f>
        <v>02</v>
      </c>
      <c r="L30" s="5" t="str">
        <v>20</v>
      </c>
      <c r="M30" s="5" t="str">
        <v>e0</v>
      </c>
      <c r="N30" s="5" t="str">
        <v>04</v>
      </c>
      <c r="O30" s="5" t="str">
        <v>00</v>
      </c>
      <c r="P30" s="5" t="str">
        <v>00</v>
      </c>
      <c r="Q30" s="5" t="str">
        <v>00</v>
      </c>
      <c r="R30" s="5" t="str">
        <v>06</v>
      </c>
      <c r="S30" s="5" t="str">
        <v>02</v>
      </c>
      <c r="T30" s="5" t="str">
        <v>20</v>
      </c>
      <c r="U30" s="5" t="str">
        <v>e0</v>
      </c>
      <c r="V30" s="5" t="str">
        <v>04</v>
      </c>
      <c r="W30" s="5" t="str">
        <v>00</v>
      </c>
      <c r="X30" s="5" t="str">
        <v>49</v>
      </c>
      <c r="Y30" s="8" t="str">
        <v>39</v>
      </c>
      <c r="Z30" s="5" t="str">
        <v>80</v>
      </c>
      <c r="AA30" s="5" t="str">
        <v>af</v>
      </c>
      <c r="AB30" s="5" t="str">
        <v>0d</v>
      </c>
      <c r="AC30" s="5" t="str">
        <v>00</v>
      </c>
      <c r="AD30" s="5" t="str">
        <v>0e</v>
      </c>
      <c r="AE30" s="5" t="str">
        <v>e0</v>
      </c>
      <c r="AF30" s="5" t="str">
        <v>00</v>
      </c>
      <c r="AG30" s="5" t="str">
        <v>00</v>
      </c>
      <c r="AH30" s="5" t="str">
        <v>89</v>
      </c>
      <c r="AI30" s="5" t="str">
        <v>00</v>
      </c>
      <c r="AJ30" s="5" t="str">
        <v>00</v>
      </c>
      <c r="AK30" s="5" t="str">
        <v>3b</v>
      </c>
    </row>
    <row r="31" spans="1:37" ht="22" customHeight="1" x14ac:dyDescent="0.3">
      <c r="A31" s="2" t="s">
        <v>2</v>
      </c>
      <c r="B31" s="2" t="s">
        <v>3</v>
      </c>
      <c r="C31" s="2">
        <v>29</v>
      </c>
      <c r="D31" s="2" t="s">
        <v>3</v>
      </c>
      <c r="E31" s="2" t="s">
        <v>3</v>
      </c>
      <c r="F31" s="5" t="s">
        <v>204</v>
      </c>
      <c r="G31" s="5" t="s">
        <v>205</v>
      </c>
      <c r="H31" s="2" t="str" cm="1">
        <f t="array" ref="H31">_xlfn.LET(
  _xlpm.parts, _xlfn.TEXTSPLIT(G31, " "),
  _xlpm.count, COUNTA(_xlpm.parts),
  _xlpm.sum, SUM(--HEX2DEC(INDEX(_xlpm.parts, _xlfn.SEQUENCE(_xlpm.count - 1)))),
  "Dec: " &amp; _xlpm.sum &amp; " | Hex: " &amp; DEC2HEX(_xlpm.sum)
)</f>
        <v>Dec: 1352 | Hex: 548</v>
      </c>
      <c r="I31" s="2" t="str">
        <f t="shared" si="0"/>
        <v>3C</v>
      </c>
      <c r="J31" s="2" t="b">
        <f t="shared" si="1"/>
        <v>1</v>
      </c>
      <c r="K31" s="5" t="str" cm="1">
        <f t="array" ref="K31:AK31">_xlfn.TEXTSPLIT(G31, " ")</f>
        <v>02</v>
      </c>
      <c r="L31" s="5" t="str">
        <v>20</v>
      </c>
      <c r="M31" s="5" t="str">
        <v>e0</v>
      </c>
      <c r="N31" s="5" t="str">
        <v>04</v>
      </c>
      <c r="O31" s="5" t="str">
        <v>00</v>
      </c>
      <c r="P31" s="5" t="str">
        <v>00</v>
      </c>
      <c r="Q31" s="5" t="str">
        <v>00</v>
      </c>
      <c r="R31" s="5" t="str">
        <v>06</v>
      </c>
      <c r="S31" s="5" t="str">
        <v>02</v>
      </c>
      <c r="T31" s="5" t="str">
        <v>20</v>
      </c>
      <c r="U31" s="5" t="str">
        <v>e0</v>
      </c>
      <c r="V31" s="5" t="str">
        <v>04</v>
      </c>
      <c r="W31" s="5" t="str">
        <v>00</v>
      </c>
      <c r="X31" s="5" t="str">
        <v>49</v>
      </c>
      <c r="Y31" s="8" t="str">
        <v>3a</v>
      </c>
      <c r="Z31" s="5" t="str">
        <v>80</v>
      </c>
      <c r="AA31" s="5" t="str">
        <v>af</v>
      </c>
      <c r="AB31" s="5" t="str">
        <v>0d</v>
      </c>
      <c r="AC31" s="5" t="str">
        <v>00</v>
      </c>
      <c r="AD31" s="5" t="str">
        <v>0e</v>
      </c>
      <c r="AE31" s="5" t="str">
        <v>e0</v>
      </c>
      <c r="AF31" s="5" t="str">
        <v>00</v>
      </c>
      <c r="AG31" s="5" t="str">
        <v>00</v>
      </c>
      <c r="AH31" s="5" t="str">
        <v>89</v>
      </c>
      <c r="AI31" s="5" t="str">
        <v>00</v>
      </c>
      <c r="AJ31" s="5" t="str">
        <v>00</v>
      </c>
      <c r="AK31" s="5" t="str">
        <v>3c</v>
      </c>
    </row>
    <row r="32" spans="1:37" ht="22" customHeight="1" x14ac:dyDescent="0.3">
      <c r="A32" s="2" t="s">
        <v>2</v>
      </c>
      <c r="B32" s="2" t="s">
        <v>3</v>
      </c>
      <c r="C32" s="2">
        <v>29.5</v>
      </c>
      <c r="D32" s="2" t="s">
        <v>3</v>
      </c>
      <c r="E32" s="2" t="s">
        <v>3</v>
      </c>
      <c r="F32" s="5" t="s">
        <v>206</v>
      </c>
      <c r="G32" s="5" t="s">
        <v>207</v>
      </c>
      <c r="H32" s="2" t="str" cm="1">
        <f t="array" ref="H32">_xlfn.LET(
  _xlpm.parts, _xlfn.TEXTSPLIT(G32, " "),
  _xlpm.count, COUNTA(_xlpm.parts),
  _xlpm.sum, SUM(--HEX2DEC(INDEX(_xlpm.parts, _xlfn.SEQUENCE(_xlpm.count - 1)))),
  "Dec: " &amp; _xlpm.sum &amp; " | Hex: " &amp; DEC2HEX(_xlpm.sum)
)</f>
        <v>Dec: 1353 | Hex: 549</v>
      </c>
      <c r="I32" s="2" t="str">
        <f t="shared" si="0"/>
        <v>3D</v>
      </c>
      <c r="J32" s="2" t="b">
        <f t="shared" si="1"/>
        <v>1</v>
      </c>
      <c r="K32" s="5" t="str" cm="1">
        <f t="array" ref="K32:AK32">_xlfn.TEXTSPLIT(G32, " ")</f>
        <v>02</v>
      </c>
      <c r="L32" s="5" t="str">
        <v>20</v>
      </c>
      <c r="M32" s="5" t="str">
        <v>e0</v>
      </c>
      <c r="N32" s="5" t="str">
        <v>04</v>
      </c>
      <c r="O32" s="5" t="str">
        <v>00</v>
      </c>
      <c r="P32" s="5" t="str">
        <v>00</v>
      </c>
      <c r="Q32" s="5" t="str">
        <v>00</v>
      </c>
      <c r="R32" s="5" t="str">
        <v>06</v>
      </c>
      <c r="S32" s="5" t="str">
        <v>02</v>
      </c>
      <c r="T32" s="5" t="str">
        <v>20</v>
      </c>
      <c r="U32" s="5" t="str">
        <v>e0</v>
      </c>
      <c r="V32" s="5" t="str">
        <v>04</v>
      </c>
      <c r="W32" s="5" t="str">
        <v>00</v>
      </c>
      <c r="X32" s="5" t="str">
        <v>49</v>
      </c>
      <c r="Y32" s="8" t="str">
        <v>3b</v>
      </c>
      <c r="Z32" s="5" t="str">
        <v>80</v>
      </c>
      <c r="AA32" s="5" t="str">
        <v>af</v>
      </c>
      <c r="AB32" s="5" t="str">
        <v>0d</v>
      </c>
      <c r="AC32" s="5" t="str">
        <v>00</v>
      </c>
      <c r="AD32" s="5" t="str">
        <v>0e</v>
      </c>
      <c r="AE32" s="5" t="str">
        <v>e0</v>
      </c>
      <c r="AF32" s="5" t="str">
        <v>00</v>
      </c>
      <c r="AG32" s="5" t="str">
        <v>00</v>
      </c>
      <c r="AH32" s="5" t="str">
        <v>89</v>
      </c>
      <c r="AI32" s="5" t="str">
        <v>00</v>
      </c>
      <c r="AJ32" s="5" t="str">
        <v>00</v>
      </c>
      <c r="AK32" s="5" t="str">
        <v>3d</v>
      </c>
    </row>
    <row r="33" spans="1:37" ht="22" customHeight="1" x14ac:dyDescent="0.3">
      <c r="A33" s="2" t="s">
        <v>2</v>
      </c>
      <c r="B33" s="2" t="s">
        <v>3</v>
      </c>
      <c r="C33" s="2">
        <v>30</v>
      </c>
      <c r="D33" s="2" t="s">
        <v>3</v>
      </c>
      <c r="E33" s="2" t="s">
        <v>3</v>
      </c>
      <c r="F33" s="5" t="s">
        <v>208</v>
      </c>
      <c r="G33" s="5" t="s">
        <v>209</v>
      </c>
      <c r="H33" s="2" t="str" cm="1">
        <f t="array" ref="H33">_xlfn.LET(
  _xlpm.parts, _xlfn.TEXTSPLIT(G33, " "),
  _xlpm.count, COUNTA(_xlpm.parts),
  _xlpm.sum, SUM(--HEX2DEC(INDEX(_xlpm.parts, _xlfn.SEQUENCE(_xlpm.count - 1)))),
  "Dec: " &amp; _xlpm.sum &amp; " | Hex: " &amp; DEC2HEX(_xlpm.sum)
)</f>
        <v>Dec: 1354 | Hex: 54A</v>
      </c>
      <c r="I33" s="2" t="str">
        <f t="shared" si="0"/>
        <v>3E</v>
      </c>
      <c r="J33" s="2" t="b">
        <f t="shared" si="1"/>
        <v>1</v>
      </c>
      <c r="K33" s="5" t="str" cm="1">
        <f t="array" ref="K33:AK33">_xlfn.TEXTSPLIT(G33, " ")</f>
        <v>02</v>
      </c>
      <c r="L33" s="5" t="str">
        <v>20</v>
      </c>
      <c r="M33" s="5" t="str">
        <v>e0</v>
      </c>
      <c r="N33" s="5" t="str">
        <v>04</v>
      </c>
      <c r="O33" s="5" t="str">
        <v>00</v>
      </c>
      <c r="P33" s="5" t="str">
        <v>00</v>
      </c>
      <c r="Q33" s="5" t="str">
        <v>00</v>
      </c>
      <c r="R33" s="5" t="str">
        <v>06</v>
      </c>
      <c r="S33" s="5" t="str">
        <v>02</v>
      </c>
      <c r="T33" s="5" t="str">
        <v>20</v>
      </c>
      <c r="U33" s="5" t="str">
        <v>e0</v>
      </c>
      <c r="V33" s="5" t="str">
        <v>04</v>
      </c>
      <c r="W33" s="5" t="str">
        <v>00</v>
      </c>
      <c r="X33" s="5" t="str">
        <v>49</v>
      </c>
      <c r="Y33" s="8" t="str">
        <v>3c</v>
      </c>
      <c r="Z33" s="5" t="str">
        <v>80</v>
      </c>
      <c r="AA33" s="5" t="str">
        <v>af</v>
      </c>
      <c r="AB33" s="5" t="str">
        <v>0d</v>
      </c>
      <c r="AC33" s="5" t="str">
        <v>00</v>
      </c>
      <c r="AD33" s="5" t="str">
        <v>0e</v>
      </c>
      <c r="AE33" s="5" t="str">
        <v>e0</v>
      </c>
      <c r="AF33" s="5" t="str">
        <v>00</v>
      </c>
      <c r="AG33" s="5" t="str">
        <v>00</v>
      </c>
      <c r="AH33" s="5" t="str">
        <v>89</v>
      </c>
      <c r="AI33" s="5" t="str">
        <v>00</v>
      </c>
      <c r="AJ33" s="5" t="str">
        <v>00</v>
      </c>
      <c r="AK33" s="5" t="str">
        <v>3e</v>
      </c>
    </row>
    <row r="34" spans="1:37" ht="22" customHeight="1" x14ac:dyDescent="0.3">
      <c r="A34" s="2"/>
      <c r="B34" s="2"/>
      <c r="C34" s="2"/>
      <c r="D34" s="2"/>
      <c r="E34" s="2"/>
      <c r="H34" s="2"/>
      <c r="I34" s="2"/>
      <c r="J34" s="2"/>
    </row>
    <row r="35" spans="1:37" ht="22" customHeight="1" x14ac:dyDescent="0.3">
      <c r="A35" s="2" t="s">
        <v>1</v>
      </c>
      <c r="B35" s="2" t="s">
        <v>5</v>
      </c>
      <c r="C35" s="2">
        <v>30</v>
      </c>
      <c r="D35" s="2" t="s">
        <v>3</v>
      </c>
      <c r="E35" s="2" t="s">
        <v>3</v>
      </c>
      <c r="F35" s="5" t="s">
        <v>208</v>
      </c>
      <c r="G35" s="5" t="s">
        <v>209</v>
      </c>
      <c r="H35" s="2" t="str" cm="1">
        <f t="array" ref="H35">_xlfn.LET(
  _xlpm.parts, _xlfn.TEXTSPLIT(G35, " "),
  _xlpm.count, COUNTA(_xlpm.parts),
  _xlpm.sum, SUM(--HEX2DEC(INDEX(_xlpm.parts, _xlfn.SEQUENCE(_xlpm.count - 1)))),
  "Dec: " &amp; _xlpm.sum &amp; " | Hex: " &amp; DEC2HEX(_xlpm.sum)
)</f>
        <v>Dec: 1354 | Hex: 54A</v>
      </c>
      <c r="I35" s="2" t="str">
        <f t="shared" si="0"/>
        <v>3E</v>
      </c>
      <c r="J35" s="2" t="b">
        <f t="shared" si="1"/>
        <v>1</v>
      </c>
      <c r="K35" s="5" t="str" cm="1">
        <f t="array" ref="K35:AK35">_xlfn.TEXTSPLIT(G35, " ")</f>
        <v>02</v>
      </c>
      <c r="L35" s="5" t="str">
        <v>20</v>
      </c>
      <c r="M35" s="5" t="str">
        <v>e0</v>
      </c>
      <c r="N35" s="5" t="str">
        <v>04</v>
      </c>
      <c r="O35" s="5" t="str">
        <v>00</v>
      </c>
      <c r="P35" s="5" t="str">
        <v>00</v>
      </c>
      <c r="Q35" s="5" t="str">
        <v>00</v>
      </c>
      <c r="R35" s="5" t="str">
        <v>06</v>
      </c>
      <c r="S35" s="5" t="str">
        <v>02</v>
      </c>
      <c r="T35" s="5" t="str">
        <v>20</v>
      </c>
      <c r="U35" s="5" t="str">
        <v>e0</v>
      </c>
      <c r="V35" s="5" t="str">
        <v>04</v>
      </c>
      <c r="W35" s="5" t="str">
        <v>00</v>
      </c>
      <c r="X35" s="5" t="str">
        <v>49</v>
      </c>
      <c r="Y35" s="5" t="str">
        <v>3c</v>
      </c>
      <c r="Z35" s="5" t="str">
        <v>80</v>
      </c>
      <c r="AA35" s="8" t="str">
        <v>af</v>
      </c>
      <c r="AB35" s="5" t="str">
        <v>0d</v>
      </c>
      <c r="AC35" s="5" t="str">
        <v>00</v>
      </c>
      <c r="AD35" s="5" t="str">
        <v>0e</v>
      </c>
      <c r="AE35" s="5" t="str">
        <v>e0</v>
      </c>
      <c r="AF35" s="5" t="str">
        <v>00</v>
      </c>
      <c r="AG35" s="5" t="str">
        <v>00</v>
      </c>
      <c r="AH35" s="5" t="str">
        <v>89</v>
      </c>
      <c r="AI35" s="5" t="str">
        <v>00</v>
      </c>
      <c r="AJ35" s="5" t="str">
        <v>00</v>
      </c>
      <c r="AK35" s="5" t="str">
        <v>3e</v>
      </c>
    </row>
    <row r="36" spans="1:37" ht="22" customHeight="1" x14ac:dyDescent="0.3">
      <c r="A36" s="2" t="s">
        <v>1</v>
      </c>
      <c r="B36" s="2">
        <v>1</v>
      </c>
      <c r="C36" s="2">
        <v>30</v>
      </c>
      <c r="D36" s="2" t="s">
        <v>3</v>
      </c>
      <c r="E36" s="2" t="s">
        <v>3</v>
      </c>
      <c r="F36" s="5" t="s">
        <v>210</v>
      </c>
      <c r="G36" s="5" t="s">
        <v>211</v>
      </c>
      <c r="H36" s="2" t="str" cm="1">
        <f t="array" ref="H36">_xlfn.LET(
  _xlpm.parts, _xlfn.TEXTSPLIT(G36, " "),
  _xlpm.count, COUNTA(_xlpm.parts),
  _xlpm.sum, SUM(--HEX2DEC(INDEX(_xlpm.parts, _xlfn.SEQUENCE(_xlpm.count - 1)))),
  "Dec: " &amp; _xlpm.sum &amp; " | Hex: " &amp; DEC2HEX(_xlpm.sum)
)</f>
        <v>Dec: 1242 | Hex: 4DA</v>
      </c>
      <c r="I36" s="2" t="str">
        <f t="shared" si="0"/>
        <v>CE</v>
      </c>
      <c r="J36" s="2" t="b">
        <f t="shared" si="1"/>
        <v>1</v>
      </c>
      <c r="K36" s="5" t="str" cm="1">
        <f t="array" ref="K36:AK36">_xlfn.TEXTSPLIT(G36, " ")</f>
        <v>02</v>
      </c>
      <c r="L36" s="5" t="str">
        <v>20</v>
      </c>
      <c r="M36" s="5" t="str">
        <v>e0</v>
      </c>
      <c r="N36" s="5" t="str">
        <v>04</v>
      </c>
      <c r="O36" s="5" t="str">
        <v>00</v>
      </c>
      <c r="P36" s="5" t="str">
        <v>00</v>
      </c>
      <c r="Q36" s="5" t="str">
        <v>00</v>
      </c>
      <c r="R36" s="5" t="str">
        <v>06</v>
      </c>
      <c r="S36" s="5" t="str">
        <v>02</v>
      </c>
      <c r="T36" s="5" t="str">
        <v>20</v>
      </c>
      <c r="U36" s="5" t="str">
        <v>e0</v>
      </c>
      <c r="V36" s="5" t="str">
        <v>04</v>
      </c>
      <c r="W36" s="5" t="str">
        <v>00</v>
      </c>
      <c r="X36" s="5" t="str">
        <v>49</v>
      </c>
      <c r="Y36" s="5" t="str">
        <v>3c</v>
      </c>
      <c r="Z36" s="5" t="str">
        <v>80</v>
      </c>
      <c r="AA36" s="8" t="str">
        <v>3f</v>
      </c>
      <c r="AB36" s="5" t="str">
        <v>0d</v>
      </c>
      <c r="AC36" s="5" t="str">
        <v>00</v>
      </c>
      <c r="AD36" s="5" t="str">
        <v>0e</v>
      </c>
      <c r="AE36" s="5" t="str">
        <v>e0</v>
      </c>
      <c r="AF36" s="5" t="str">
        <v>00</v>
      </c>
      <c r="AG36" s="5" t="str">
        <v>00</v>
      </c>
      <c r="AH36" s="5" t="str">
        <v>89</v>
      </c>
      <c r="AI36" s="5" t="str">
        <v>00</v>
      </c>
      <c r="AJ36" s="5" t="str">
        <v>00</v>
      </c>
      <c r="AK36" s="5" t="str">
        <v>ce</v>
      </c>
    </row>
    <row r="37" spans="1:37" ht="22" customHeight="1" x14ac:dyDescent="0.3">
      <c r="A37" s="2" t="s">
        <v>1</v>
      </c>
      <c r="B37" s="2">
        <v>2</v>
      </c>
      <c r="C37" s="2">
        <v>30</v>
      </c>
      <c r="D37" s="2" t="s">
        <v>3</v>
      </c>
      <c r="E37" s="2" t="s">
        <v>3</v>
      </c>
      <c r="F37" s="5" t="s">
        <v>212</v>
      </c>
      <c r="G37" s="5" t="s">
        <v>213</v>
      </c>
      <c r="H37" s="2" t="str" cm="1">
        <f t="array" ref="H37">_xlfn.LET(
  _xlpm.parts, _xlfn.TEXTSPLIT(G37, " "),
  _xlpm.count, COUNTA(_xlpm.parts),
  _xlpm.sum, SUM(--HEX2DEC(INDEX(_xlpm.parts, _xlfn.SEQUENCE(_xlpm.count - 1)))),
  "Dec: " &amp; _xlpm.sum &amp; " | Hex: " &amp; DEC2HEX(_xlpm.sum)
)</f>
        <v>Dec: 1258 | Hex: 4EA</v>
      </c>
      <c r="I37" s="2" t="str">
        <f t="shared" si="0"/>
        <v>DE</v>
      </c>
      <c r="J37" s="2" t="b">
        <f t="shared" si="1"/>
        <v>1</v>
      </c>
      <c r="K37" s="5" t="str" cm="1">
        <f t="array" ref="K37:AK37">_xlfn.TEXTSPLIT(G37, " ")</f>
        <v>02</v>
      </c>
      <c r="L37" s="5" t="str">
        <v>20</v>
      </c>
      <c r="M37" s="5" t="str">
        <v>e0</v>
      </c>
      <c r="N37" s="5" t="str">
        <v>04</v>
      </c>
      <c r="O37" s="5" t="str">
        <v>00</v>
      </c>
      <c r="P37" s="5" t="str">
        <v>00</v>
      </c>
      <c r="Q37" s="5" t="str">
        <v>00</v>
      </c>
      <c r="R37" s="5" t="str">
        <v>06</v>
      </c>
      <c r="S37" s="5" t="str">
        <v>02</v>
      </c>
      <c r="T37" s="5" t="str">
        <v>20</v>
      </c>
      <c r="U37" s="5" t="str">
        <v>e0</v>
      </c>
      <c r="V37" s="5" t="str">
        <v>04</v>
      </c>
      <c r="W37" s="5" t="str">
        <v>00</v>
      </c>
      <c r="X37" s="5" t="str">
        <v>49</v>
      </c>
      <c r="Y37" s="5" t="str">
        <v>3c</v>
      </c>
      <c r="Z37" s="5" t="str">
        <v>80</v>
      </c>
      <c r="AA37" s="8" t="str">
        <v>4f</v>
      </c>
      <c r="AB37" s="5" t="str">
        <v>0d</v>
      </c>
      <c r="AC37" s="5" t="str">
        <v>00</v>
      </c>
      <c r="AD37" s="5" t="str">
        <v>0e</v>
      </c>
      <c r="AE37" s="5" t="str">
        <v>e0</v>
      </c>
      <c r="AF37" s="5" t="str">
        <v>00</v>
      </c>
      <c r="AG37" s="5" t="str">
        <v>00</v>
      </c>
      <c r="AH37" s="5" t="str">
        <v>89</v>
      </c>
      <c r="AI37" s="5" t="str">
        <v>00</v>
      </c>
      <c r="AJ37" s="5" t="str">
        <v>00</v>
      </c>
      <c r="AK37" s="5" t="str">
        <v>de</v>
      </c>
    </row>
    <row r="38" spans="1:37" ht="22" customHeight="1" x14ac:dyDescent="0.3">
      <c r="A38" s="2" t="s">
        <v>1</v>
      </c>
      <c r="B38" s="2">
        <v>3</v>
      </c>
      <c r="C38" s="2">
        <v>30</v>
      </c>
      <c r="D38" s="2" t="s">
        <v>3</v>
      </c>
      <c r="E38" s="2" t="s">
        <v>3</v>
      </c>
      <c r="F38" s="5" t="s">
        <v>214</v>
      </c>
      <c r="G38" s="5" t="s">
        <v>215</v>
      </c>
      <c r="H38" s="2" t="str" cm="1">
        <f t="array" ref="H38">_xlfn.LET(
  _xlpm.parts, _xlfn.TEXTSPLIT(G38, " "),
  _xlpm.count, COUNTA(_xlpm.parts),
  _xlpm.sum, SUM(--HEX2DEC(INDEX(_xlpm.parts, _xlfn.SEQUENCE(_xlpm.count - 1)))),
  "Dec: " &amp; _xlpm.sum &amp; " | Hex: " &amp; DEC2HEX(_xlpm.sum)
)</f>
        <v>Dec: 1274 | Hex: 4FA</v>
      </c>
      <c r="I38" s="2" t="str">
        <f t="shared" si="0"/>
        <v>EE</v>
      </c>
      <c r="J38" s="2" t="b">
        <f t="shared" si="1"/>
        <v>1</v>
      </c>
      <c r="K38" s="5" t="str" cm="1">
        <f t="array" ref="K38:AK38">_xlfn.TEXTSPLIT(G38, " ")</f>
        <v>02</v>
      </c>
      <c r="L38" s="5" t="str">
        <v>20</v>
      </c>
      <c r="M38" s="5" t="str">
        <v>e0</v>
      </c>
      <c r="N38" s="5" t="str">
        <v>04</v>
      </c>
      <c r="O38" s="5" t="str">
        <v>00</v>
      </c>
      <c r="P38" s="5" t="str">
        <v>00</v>
      </c>
      <c r="Q38" s="5" t="str">
        <v>00</v>
      </c>
      <c r="R38" s="5" t="str">
        <v>06</v>
      </c>
      <c r="S38" s="5" t="str">
        <v>02</v>
      </c>
      <c r="T38" s="5" t="str">
        <v>20</v>
      </c>
      <c r="U38" s="5" t="str">
        <v>e0</v>
      </c>
      <c r="V38" s="5" t="str">
        <v>04</v>
      </c>
      <c r="W38" s="5" t="str">
        <v>00</v>
      </c>
      <c r="X38" s="5" t="str">
        <v>49</v>
      </c>
      <c r="Y38" s="5" t="str">
        <v>3c</v>
      </c>
      <c r="Z38" s="5" t="str">
        <v>80</v>
      </c>
      <c r="AA38" s="8" t="str">
        <v>5f</v>
      </c>
      <c r="AB38" s="5" t="str">
        <v>0d</v>
      </c>
      <c r="AC38" s="5" t="str">
        <v>00</v>
      </c>
      <c r="AD38" s="5" t="str">
        <v>0e</v>
      </c>
      <c r="AE38" s="5" t="str">
        <v>e0</v>
      </c>
      <c r="AF38" s="5" t="str">
        <v>00</v>
      </c>
      <c r="AG38" s="5" t="str">
        <v>00</v>
      </c>
      <c r="AH38" s="5" t="str">
        <v>89</v>
      </c>
      <c r="AI38" s="5" t="str">
        <v>00</v>
      </c>
      <c r="AJ38" s="5" t="str">
        <v>00</v>
      </c>
      <c r="AK38" s="5" t="str">
        <v>ee</v>
      </c>
    </row>
    <row r="39" spans="1:37" ht="22" customHeight="1" x14ac:dyDescent="0.3">
      <c r="A39" s="2" t="s">
        <v>1</v>
      </c>
      <c r="B39" s="2">
        <v>4</v>
      </c>
      <c r="C39" s="2">
        <v>30</v>
      </c>
      <c r="D39" s="2" t="s">
        <v>3</v>
      </c>
      <c r="E39" s="2" t="s">
        <v>3</v>
      </c>
      <c r="F39" s="5" t="s">
        <v>218</v>
      </c>
      <c r="G39" s="5" t="s">
        <v>219</v>
      </c>
      <c r="H39" s="2" t="str" cm="1">
        <f t="array" ref="H39">_xlfn.LET(
  _xlpm.parts, _xlfn.TEXTSPLIT(G39, " "),
  _xlpm.count, COUNTA(_xlpm.parts),
  _xlpm.sum, SUM(--HEX2DEC(INDEX(_xlpm.parts, _xlfn.SEQUENCE(_xlpm.count - 1)))),
  "Dec: " &amp; _xlpm.sum &amp; " | Hex: " &amp; DEC2HEX(_xlpm.sum)
)</f>
        <v>Dec: 1290 | Hex: 50A</v>
      </c>
      <c r="I39" s="2" t="str">
        <f t="shared" si="0"/>
        <v>FE</v>
      </c>
      <c r="J39" s="2" t="b">
        <f t="shared" si="1"/>
        <v>1</v>
      </c>
      <c r="K39" s="5" t="str" cm="1">
        <f t="array" ref="K39:AK39">_xlfn.TEXTSPLIT(G39, " ")</f>
        <v>02</v>
      </c>
      <c r="L39" s="5" t="str">
        <v>20</v>
      </c>
      <c r="M39" s="5" t="str">
        <v>e0</v>
      </c>
      <c r="N39" s="5" t="str">
        <v>04</v>
      </c>
      <c r="O39" s="5" t="str">
        <v>00</v>
      </c>
      <c r="P39" s="5" t="str">
        <v>00</v>
      </c>
      <c r="Q39" s="5" t="str">
        <v>00</v>
      </c>
      <c r="R39" s="5" t="str">
        <v>06</v>
      </c>
      <c r="S39" s="5" t="str">
        <v>02</v>
      </c>
      <c r="T39" s="5" t="str">
        <v>20</v>
      </c>
      <c r="U39" s="5" t="str">
        <v>e0</v>
      </c>
      <c r="V39" s="5" t="str">
        <v>04</v>
      </c>
      <c r="W39" s="5" t="str">
        <v>00</v>
      </c>
      <c r="X39" s="5" t="str">
        <v>49</v>
      </c>
      <c r="Y39" s="5" t="str">
        <v>3c</v>
      </c>
      <c r="Z39" s="5" t="str">
        <v>80</v>
      </c>
      <c r="AA39" s="8" t="str">
        <v>6f</v>
      </c>
      <c r="AB39" s="5" t="str">
        <v>0d</v>
      </c>
      <c r="AC39" s="5" t="str">
        <v>00</v>
      </c>
      <c r="AD39" s="5" t="str">
        <v>0e</v>
      </c>
      <c r="AE39" s="5" t="str">
        <v>e0</v>
      </c>
      <c r="AF39" s="5" t="str">
        <v>00</v>
      </c>
      <c r="AG39" s="5" t="str">
        <v>00</v>
      </c>
      <c r="AH39" s="5" t="str">
        <v>89</v>
      </c>
      <c r="AI39" s="5" t="str">
        <v>00</v>
      </c>
      <c r="AJ39" s="5" t="str">
        <v>00</v>
      </c>
      <c r="AK39" s="5" t="str">
        <v>fe</v>
      </c>
    </row>
    <row r="40" spans="1:37" ht="22" customHeight="1" x14ac:dyDescent="0.3">
      <c r="A40" s="2" t="s">
        <v>1</v>
      </c>
      <c r="B40" s="2">
        <v>5</v>
      </c>
      <c r="C40" s="2">
        <v>30</v>
      </c>
      <c r="D40" s="2" t="s">
        <v>3</v>
      </c>
      <c r="E40" s="2" t="s">
        <v>3</v>
      </c>
      <c r="F40" s="5" t="s">
        <v>216</v>
      </c>
      <c r="G40" s="5" t="s">
        <v>217</v>
      </c>
      <c r="H40" s="2" t="str" cm="1">
        <f t="array" ref="H40">_xlfn.LET(
  _xlpm.parts, _xlfn.TEXTSPLIT(G40, " "),
  _xlpm.count, COUNTA(_xlpm.parts),
  _xlpm.sum, SUM(--HEX2DEC(INDEX(_xlpm.parts, _xlfn.SEQUENCE(_xlpm.count - 1)))),
  "Dec: " &amp; _xlpm.sum &amp; " | Hex: " &amp; DEC2HEX(_xlpm.sum)
)</f>
        <v>Dec: 1306 | Hex: 51A</v>
      </c>
      <c r="I40" s="2" t="str">
        <f t="shared" si="0"/>
        <v>0E</v>
      </c>
      <c r="J40" s="2" t="b">
        <f t="shared" si="1"/>
        <v>1</v>
      </c>
      <c r="K40" s="5" t="str" cm="1">
        <f t="array" ref="K40:AK40">_xlfn.TEXTSPLIT(G40, " ")</f>
        <v>02</v>
      </c>
      <c r="L40" s="5" t="str">
        <v>20</v>
      </c>
      <c r="M40" s="5" t="str">
        <v>e0</v>
      </c>
      <c r="N40" s="5" t="str">
        <v>04</v>
      </c>
      <c r="O40" s="5" t="str">
        <v>00</v>
      </c>
      <c r="P40" s="5" t="str">
        <v>00</v>
      </c>
      <c r="Q40" s="5" t="str">
        <v>00</v>
      </c>
      <c r="R40" s="5" t="str">
        <v>06</v>
      </c>
      <c r="S40" s="5" t="str">
        <v>02</v>
      </c>
      <c r="T40" s="5" t="str">
        <v>20</v>
      </c>
      <c r="U40" s="5" t="str">
        <v>e0</v>
      </c>
      <c r="V40" s="5" t="str">
        <v>04</v>
      </c>
      <c r="W40" s="5" t="str">
        <v>00</v>
      </c>
      <c r="X40" s="5" t="str">
        <v>49</v>
      </c>
      <c r="Y40" s="5" t="str">
        <v>3c</v>
      </c>
      <c r="Z40" s="5" t="str">
        <v>80</v>
      </c>
      <c r="AA40" s="8" t="str">
        <v>7f</v>
      </c>
      <c r="AB40" s="5" t="str">
        <v>0d</v>
      </c>
      <c r="AC40" s="5" t="str">
        <v>00</v>
      </c>
      <c r="AD40" s="5" t="str">
        <v>0e</v>
      </c>
      <c r="AE40" s="5" t="str">
        <v>e0</v>
      </c>
      <c r="AF40" s="5" t="str">
        <v>00</v>
      </c>
      <c r="AG40" s="5" t="str">
        <v>00</v>
      </c>
      <c r="AH40" s="5" t="str">
        <v>89</v>
      </c>
      <c r="AI40" s="5" t="str">
        <v>00</v>
      </c>
      <c r="AJ40" s="5" t="str">
        <v>00</v>
      </c>
      <c r="AK40" s="5" t="str">
        <v>0e</v>
      </c>
    </row>
    <row r="41" spans="1:37" ht="22" customHeight="1" x14ac:dyDescent="0.3">
      <c r="A41" s="2"/>
      <c r="B41" s="2"/>
      <c r="C41" s="2"/>
      <c r="D41" s="2"/>
      <c r="E41" s="2"/>
      <c r="H41" s="2"/>
      <c r="I41" s="2"/>
      <c r="J41" s="2"/>
    </row>
    <row r="42" spans="1:37" ht="22" customHeight="1" x14ac:dyDescent="0.3">
      <c r="A42" s="2" t="s">
        <v>1</v>
      </c>
      <c r="B42" s="2" t="s">
        <v>8</v>
      </c>
      <c r="C42" s="2">
        <v>30</v>
      </c>
      <c r="D42" s="2" t="s">
        <v>3</v>
      </c>
      <c r="E42" s="2" t="s">
        <v>3</v>
      </c>
      <c r="F42" s="5" t="s">
        <v>220</v>
      </c>
      <c r="G42" s="5" t="s">
        <v>221</v>
      </c>
      <c r="H42" s="2" t="str" cm="1">
        <f t="array" ref="H42">_xlfn.LET(
  _xlpm.parts, _xlfn.TEXTSPLIT(G42, " "),
  _xlpm.count, COUNTA(_xlpm.parts),
  _xlpm.sum, SUM(--HEX2DEC(INDEX(_xlpm.parts, _xlfn.SEQUENCE(_xlpm.count - 1)))),
  "Dec: " &amp; _xlpm.sum &amp; " | Hex: " &amp; DEC2HEX(_xlpm.sum)
)</f>
        <v>Dec: 1355 | Hex: 54B</v>
      </c>
      <c r="I42" s="2" t="str">
        <f t="shared" si="0"/>
        <v>3F</v>
      </c>
      <c r="J42" s="2" t="b">
        <f t="shared" si="1"/>
        <v>1</v>
      </c>
      <c r="K42" s="5" t="str" cm="1">
        <f t="array" ref="K42:AK42">_xlfn.TEXTSPLIT(G42, " ")</f>
        <v>02</v>
      </c>
      <c r="L42" s="5" t="str">
        <v>20</v>
      </c>
      <c r="M42" s="5" t="str">
        <v>e0</v>
      </c>
      <c r="N42" s="5" t="str">
        <v>04</v>
      </c>
      <c r="O42" s="5" t="str">
        <v>00</v>
      </c>
      <c r="P42" s="5" t="str">
        <v>00</v>
      </c>
      <c r="Q42" s="5" t="str">
        <v>00</v>
      </c>
      <c r="R42" s="5" t="str">
        <v>06</v>
      </c>
      <c r="S42" s="5" t="str">
        <v>02</v>
      </c>
      <c r="T42" s="5" t="str">
        <v>20</v>
      </c>
      <c r="U42" s="5" t="str">
        <v>e0</v>
      </c>
      <c r="V42" s="5" t="str">
        <v>04</v>
      </c>
      <c r="W42" s="5" t="str">
        <v>00</v>
      </c>
      <c r="X42" s="5" t="str">
        <v>49</v>
      </c>
      <c r="Y42" s="5" t="str">
        <v>3c</v>
      </c>
      <c r="Z42" s="5" t="str">
        <v>80</v>
      </c>
      <c r="AA42" s="5" t="str">
        <v>af</v>
      </c>
      <c r="AB42" s="5" t="str">
        <v>0d</v>
      </c>
      <c r="AC42" s="5" t="str">
        <v>00</v>
      </c>
      <c r="AD42" s="5" t="str">
        <v>0e</v>
      </c>
      <c r="AE42" s="5" t="str">
        <v>e0</v>
      </c>
      <c r="AF42" s="8" t="str">
        <v>01</v>
      </c>
      <c r="AG42" s="5" t="str">
        <v>00</v>
      </c>
      <c r="AH42" s="5" t="str">
        <v>89</v>
      </c>
      <c r="AI42" s="5" t="str">
        <v>00</v>
      </c>
      <c r="AJ42" s="5" t="str">
        <v>00</v>
      </c>
      <c r="AK42" s="5" t="str">
        <v>3f</v>
      </c>
    </row>
    <row r="43" spans="1:37" ht="22" customHeight="1" x14ac:dyDescent="0.3">
      <c r="A43" s="2" t="s">
        <v>1</v>
      </c>
      <c r="B43" s="2" t="s">
        <v>405</v>
      </c>
      <c r="C43" s="2">
        <v>30</v>
      </c>
      <c r="D43" s="2" t="s">
        <v>3</v>
      </c>
      <c r="E43" s="2" t="s">
        <v>3</v>
      </c>
      <c r="F43" s="5" t="s">
        <v>222</v>
      </c>
      <c r="G43" s="5" t="s">
        <v>223</v>
      </c>
      <c r="H43" s="2" t="str" cm="1">
        <f t="array" ref="H43">_xlfn.LET(
  _xlpm.parts, _xlfn.TEXTSPLIT(G43, " "),
  _xlpm.count, COUNTA(_xlpm.parts),
  _xlpm.sum, SUM(--HEX2DEC(INDEX(_xlpm.parts, _xlfn.SEQUENCE(_xlpm.count - 1)))),
  "Dec: " &amp; _xlpm.sum &amp; " | Hex: " &amp; DEC2HEX(_xlpm.sum)
)</f>
        <v>Dec: 1386 | Hex: 56A</v>
      </c>
      <c r="I43" s="2" t="str">
        <f t="shared" si="0"/>
        <v>5E</v>
      </c>
      <c r="J43" s="2" t="b">
        <f t="shared" si="1"/>
        <v>1</v>
      </c>
      <c r="K43" s="5" t="str" cm="1">
        <f t="array" ref="K43:AK43">_xlfn.TEXTSPLIT(G43, " ")</f>
        <v>02</v>
      </c>
      <c r="L43" s="5" t="str">
        <v>20</v>
      </c>
      <c r="M43" s="5" t="str">
        <v>e0</v>
      </c>
      <c r="N43" s="5" t="str">
        <v>04</v>
      </c>
      <c r="O43" s="5" t="str">
        <v>00</v>
      </c>
      <c r="P43" s="5" t="str">
        <v>00</v>
      </c>
      <c r="Q43" s="5" t="str">
        <v>00</v>
      </c>
      <c r="R43" s="5" t="str">
        <v>06</v>
      </c>
      <c r="S43" s="5" t="str">
        <v>02</v>
      </c>
      <c r="T43" s="5" t="str">
        <v>20</v>
      </c>
      <c r="U43" s="5" t="str">
        <v>e0</v>
      </c>
      <c r="V43" s="5" t="str">
        <v>04</v>
      </c>
      <c r="W43" s="5" t="str">
        <v>00</v>
      </c>
      <c r="X43" s="5" t="str">
        <v>49</v>
      </c>
      <c r="Y43" s="5" t="str">
        <v>3c</v>
      </c>
      <c r="Z43" s="5" t="str">
        <v>80</v>
      </c>
      <c r="AA43" s="5" t="str">
        <v>af</v>
      </c>
      <c r="AB43" s="5" t="str">
        <v>0d</v>
      </c>
      <c r="AC43" s="5" t="str">
        <v>00</v>
      </c>
      <c r="AD43" s="5" t="str">
        <v>0e</v>
      </c>
      <c r="AE43" s="5" t="str">
        <v>e0</v>
      </c>
      <c r="AF43" s="8" t="str">
        <v>20</v>
      </c>
      <c r="AG43" s="5" t="str">
        <v>00</v>
      </c>
      <c r="AH43" s="5" t="str">
        <v>89</v>
      </c>
      <c r="AI43" s="5" t="str">
        <v>00</v>
      </c>
      <c r="AJ43" s="5" t="str">
        <v>00</v>
      </c>
      <c r="AK43" s="5" t="str">
        <v>5e</v>
      </c>
    </row>
    <row r="44" spans="1:37" ht="22" customHeight="1" x14ac:dyDescent="0.3">
      <c r="A44" s="2"/>
      <c r="B44" s="2"/>
      <c r="C44" s="2"/>
      <c r="D44" s="2"/>
      <c r="E44" s="2"/>
      <c r="H44" s="2"/>
      <c r="I44" s="2"/>
      <c r="J44" s="2"/>
    </row>
    <row r="45" spans="1:37" ht="22" customHeight="1" x14ac:dyDescent="0.3">
      <c r="A45" s="2" t="s">
        <v>10</v>
      </c>
      <c r="B45" s="2" t="s">
        <v>5</v>
      </c>
      <c r="C45" s="2">
        <v>30</v>
      </c>
      <c r="D45" s="2" t="s">
        <v>3</v>
      </c>
      <c r="E45" s="2" t="s">
        <v>3</v>
      </c>
      <c r="F45" s="5" t="s">
        <v>208</v>
      </c>
      <c r="G45" s="5" t="s">
        <v>209</v>
      </c>
      <c r="H45" s="2" t="str" cm="1">
        <f t="array" ref="H45">_xlfn.LET(
  _xlpm.parts, _xlfn.TEXTSPLIT(G45, " "),
  _xlpm.count, COUNTA(_xlpm.parts),
  _xlpm.sum, SUM(--HEX2DEC(INDEX(_xlpm.parts, _xlfn.SEQUENCE(_xlpm.count - 1)))),
  "Dec: " &amp; _xlpm.sum &amp; " | Hex: " &amp; DEC2HEX(_xlpm.sum)
)</f>
        <v>Dec: 1354 | Hex: 54A</v>
      </c>
      <c r="I45" s="2" t="str">
        <f t="shared" si="0"/>
        <v>3E</v>
      </c>
      <c r="J45" s="2" t="b">
        <f t="shared" si="1"/>
        <v>1</v>
      </c>
      <c r="K45" s="5" t="str" cm="1">
        <f t="array" ref="K45:AK45">_xlfn.TEXTSPLIT(G45, " ")</f>
        <v>02</v>
      </c>
      <c r="L45" s="5" t="str">
        <v>20</v>
      </c>
      <c r="M45" s="5" t="str">
        <v>e0</v>
      </c>
      <c r="N45" s="5" t="str">
        <v>04</v>
      </c>
      <c r="O45" s="5" t="str">
        <v>00</v>
      </c>
      <c r="P45" s="5" t="str">
        <v>00</v>
      </c>
      <c r="Q45" s="5" t="str">
        <v>00</v>
      </c>
      <c r="R45" s="5" t="str">
        <v>06</v>
      </c>
      <c r="S45" s="5" t="str">
        <v>02</v>
      </c>
      <c r="T45" s="5" t="str">
        <v>20</v>
      </c>
      <c r="U45" s="5" t="str">
        <v>e0</v>
      </c>
      <c r="V45" s="5" t="str">
        <v>04</v>
      </c>
      <c r="W45" s="5" t="str">
        <v>00</v>
      </c>
      <c r="X45" s="5" t="str">
        <v>49</v>
      </c>
      <c r="Y45" s="5" t="str">
        <v>3c</v>
      </c>
      <c r="Z45" s="5" t="str">
        <v>80</v>
      </c>
      <c r="AA45" s="5" t="str">
        <v>af</v>
      </c>
      <c r="AB45" s="8" t="str">
        <v>0d</v>
      </c>
      <c r="AC45" s="5" t="str">
        <v>00</v>
      </c>
      <c r="AD45" s="5" t="str">
        <v>0e</v>
      </c>
      <c r="AE45" s="5" t="str">
        <v>e0</v>
      </c>
      <c r="AF45" s="5" t="str">
        <v>00</v>
      </c>
      <c r="AG45" s="5" t="str">
        <v>00</v>
      </c>
      <c r="AH45" s="5" t="str">
        <v>89</v>
      </c>
      <c r="AI45" s="5" t="str">
        <v>00</v>
      </c>
      <c r="AJ45" s="5" t="str">
        <v>00</v>
      </c>
      <c r="AK45" s="5" t="str">
        <v>3e</v>
      </c>
    </row>
    <row r="46" spans="1:37" ht="22" customHeight="1" x14ac:dyDescent="0.3">
      <c r="A46" s="2" t="s">
        <v>10</v>
      </c>
      <c r="B46" s="2" t="s">
        <v>5</v>
      </c>
      <c r="C46" s="2">
        <v>30</v>
      </c>
      <c r="D46" s="2">
        <v>1</v>
      </c>
      <c r="E46" s="2" t="s">
        <v>3</v>
      </c>
      <c r="F46" s="6" t="s">
        <v>224</v>
      </c>
      <c r="G46" s="5" t="s">
        <v>339</v>
      </c>
      <c r="H46" s="2" t="str" cm="1">
        <f t="array" ref="H46">_xlfn.LET(
  _xlpm.parts, _xlfn.TEXTSPLIT(G46, " "),
  _xlpm.count, COUNTA(_xlpm.parts),
  _xlpm.sum, SUM(--HEX2DEC(INDEX(_xlpm.parts, _xlfn.SEQUENCE(_xlpm.count - 1)))),
  "Dec: " &amp; _xlpm.sum &amp; " | Hex: " &amp; DEC2HEX(_xlpm.sum)
)</f>
        <v>Dec: 1347 | Hex: 543</v>
      </c>
      <c r="I46" s="2" t="str">
        <f t="shared" si="0"/>
        <v>37</v>
      </c>
      <c r="J46" s="2" t="b">
        <f t="shared" si="1"/>
        <v>1</v>
      </c>
      <c r="K46" s="5" t="str" cm="1">
        <f t="array" ref="K46:AK46">_xlfn.TEXTSPLIT(G46, " ")</f>
        <v>02</v>
      </c>
      <c r="L46" s="5" t="str">
        <v>20</v>
      </c>
      <c r="M46" s="5" t="str">
        <v>e0</v>
      </c>
      <c r="N46" s="5" t="str">
        <v>04</v>
      </c>
      <c r="O46" s="5" t="str">
        <v>00</v>
      </c>
      <c r="P46" s="5" t="str">
        <v>00</v>
      </c>
      <c r="Q46" s="5" t="str">
        <v>00</v>
      </c>
      <c r="R46" s="5" t="str">
        <v>06</v>
      </c>
      <c r="S46" s="5" t="str">
        <v>02</v>
      </c>
      <c r="T46" s="5" t="str">
        <v>20</v>
      </c>
      <c r="U46" s="5" t="str">
        <v>e0</v>
      </c>
      <c r="V46" s="5" t="str">
        <v>04</v>
      </c>
      <c r="W46" s="5" t="str">
        <v>00</v>
      </c>
      <c r="X46" s="5" t="str">
        <v>49</v>
      </c>
      <c r="Y46" s="5" t="str">
        <v>3c</v>
      </c>
      <c r="Z46" s="5" t="str">
        <v>80</v>
      </c>
      <c r="AA46" s="5" t="str">
        <v>af</v>
      </c>
      <c r="AB46" s="8" t="str">
        <v>06</v>
      </c>
      <c r="AC46" s="5" t="str">
        <v>00</v>
      </c>
      <c r="AD46" s="5" t="str">
        <v>0e</v>
      </c>
      <c r="AE46" s="5" t="str">
        <v>e0</v>
      </c>
      <c r="AF46" s="5" t="str">
        <v>00</v>
      </c>
      <c r="AG46" s="5" t="str">
        <v>00</v>
      </c>
      <c r="AH46" s="5" t="str">
        <v>89</v>
      </c>
      <c r="AI46" s="5" t="str">
        <v>00</v>
      </c>
      <c r="AJ46" s="5" t="str">
        <v>00</v>
      </c>
      <c r="AK46" s="5" t="str">
        <v>37</v>
      </c>
    </row>
    <row r="47" spans="1:37" ht="22" customHeight="1" x14ac:dyDescent="0.3">
      <c r="A47" s="2" t="s">
        <v>10</v>
      </c>
      <c r="B47" s="2" t="s">
        <v>5</v>
      </c>
      <c r="C47" s="2">
        <v>30</v>
      </c>
      <c r="D47" s="2">
        <v>2</v>
      </c>
      <c r="E47" s="2" t="s">
        <v>3</v>
      </c>
      <c r="F47" s="5" t="s">
        <v>225</v>
      </c>
      <c r="G47" s="5" t="s">
        <v>226</v>
      </c>
      <c r="H47" s="2" t="str" cm="1">
        <f t="array" ref="H47">_xlfn.LET(
  _xlpm.parts, _xlfn.TEXTSPLIT(G47, " "),
  _xlpm.count, COUNTA(_xlpm.parts),
  _xlpm.sum, SUM(--HEX2DEC(INDEX(_xlpm.parts, _xlfn.SEQUENCE(_xlpm.count - 1)))),
  "Dec: " &amp; _xlpm.sum &amp; " | Hex: " &amp; DEC2HEX(_xlpm.sum)
)</f>
        <v>Dec: 1350 | Hex: 546</v>
      </c>
      <c r="I47" s="2" t="str">
        <f t="shared" si="0"/>
        <v>3A</v>
      </c>
      <c r="J47" s="2" t="b">
        <f t="shared" si="1"/>
        <v>1</v>
      </c>
      <c r="K47" s="5" t="str" cm="1">
        <f t="array" ref="K47:AK47">_xlfn.TEXTSPLIT(G47, " ")</f>
        <v>02</v>
      </c>
      <c r="L47" s="5" t="str">
        <v>20</v>
      </c>
      <c r="M47" s="5" t="str">
        <v>e0</v>
      </c>
      <c r="N47" s="5" t="str">
        <v>04</v>
      </c>
      <c r="O47" s="5" t="str">
        <v>00</v>
      </c>
      <c r="P47" s="5" t="str">
        <v>00</v>
      </c>
      <c r="Q47" s="5" t="str">
        <v>00</v>
      </c>
      <c r="R47" s="5" t="str">
        <v>06</v>
      </c>
      <c r="S47" s="5" t="str">
        <v>02</v>
      </c>
      <c r="T47" s="5" t="str">
        <v>20</v>
      </c>
      <c r="U47" s="5" t="str">
        <v>e0</v>
      </c>
      <c r="V47" s="5" t="str">
        <v>04</v>
      </c>
      <c r="W47" s="5" t="str">
        <v>00</v>
      </c>
      <c r="X47" s="5" t="str">
        <v>49</v>
      </c>
      <c r="Y47" s="5" t="str">
        <v>3c</v>
      </c>
      <c r="Z47" s="5" t="str">
        <v>80</v>
      </c>
      <c r="AA47" s="5" t="str">
        <v>af</v>
      </c>
      <c r="AB47" s="8" t="str">
        <v>09</v>
      </c>
      <c r="AC47" s="5" t="str">
        <v>00</v>
      </c>
      <c r="AD47" s="5" t="str">
        <v>0e</v>
      </c>
      <c r="AE47" s="5" t="str">
        <v>e0</v>
      </c>
      <c r="AF47" s="5" t="str">
        <v>00</v>
      </c>
      <c r="AG47" s="5" t="str">
        <v>00</v>
      </c>
      <c r="AH47" s="5" t="str">
        <v>89</v>
      </c>
      <c r="AI47" s="5" t="str">
        <v>00</v>
      </c>
      <c r="AJ47" s="5" t="str">
        <v>00</v>
      </c>
      <c r="AK47" s="5" t="str">
        <v>3a</v>
      </c>
    </row>
    <row r="48" spans="1:37" ht="22" customHeight="1" x14ac:dyDescent="0.3">
      <c r="A48" s="2" t="s">
        <v>10</v>
      </c>
      <c r="B48" s="2" t="s">
        <v>5</v>
      </c>
      <c r="C48" s="2">
        <v>30</v>
      </c>
      <c r="D48" s="2">
        <v>3</v>
      </c>
      <c r="E48" s="2" t="s">
        <v>3</v>
      </c>
      <c r="F48" s="5" t="s">
        <v>227</v>
      </c>
      <c r="G48" s="5" t="s">
        <v>228</v>
      </c>
      <c r="H48" s="2" t="str" cm="1">
        <f t="array" ref="H48">_xlfn.LET(
  _xlpm.parts, _xlfn.TEXTSPLIT(G48, " "),
  _xlpm.count, COUNTA(_xlpm.parts),
  _xlpm.sum, SUM(--HEX2DEC(INDEX(_xlpm.parts, _xlfn.SEQUENCE(_xlpm.count - 1)))),
  "Dec: " &amp; _xlpm.sum &amp; " | Hex: " &amp; DEC2HEX(_xlpm.sum)
)</f>
        <v>Dec: 1351 | Hex: 547</v>
      </c>
      <c r="I48" s="2" t="str">
        <f t="shared" si="0"/>
        <v>3B</v>
      </c>
      <c r="J48" s="2" t="b">
        <f t="shared" si="1"/>
        <v>1</v>
      </c>
      <c r="K48" s="5" t="str" cm="1">
        <f t="array" ref="K48:AK48">_xlfn.TEXTSPLIT(G48, " ")</f>
        <v>02</v>
      </c>
      <c r="L48" s="5" t="str">
        <v>20</v>
      </c>
      <c r="M48" s="5" t="str">
        <v>e0</v>
      </c>
      <c r="N48" s="5" t="str">
        <v>04</v>
      </c>
      <c r="O48" s="5" t="str">
        <v>00</v>
      </c>
      <c r="P48" s="5" t="str">
        <v>00</v>
      </c>
      <c r="Q48" s="5" t="str">
        <v>00</v>
      </c>
      <c r="R48" s="5" t="str">
        <v>06</v>
      </c>
      <c r="S48" s="5" t="str">
        <v>02</v>
      </c>
      <c r="T48" s="5" t="str">
        <v>20</v>
      </c>
      <c r="U48" s="5" t="str">
        <v>e0</v>
      </c>
      <c r="V48" s="5" t="str">
        <v>04</v>
      </c>
      <c r="W48" s="5" t="str">
        <v>00</v>
      </c>
      <c r="X48" s="5" t="str">
        <v>49</v>
      </c>
      <c r="Y48" s="5" t="str">
        <v>3c</v>
      </c>
      <c r="Z48" s="5" t="str">
        <v>80</v>
      </c>
      <c r="AA48" s="5" t="str">
        <v>af</v>
      </c>
      <c r="AB48" s="8" t="str">
        <v>0a</v>
      </c>
      <c r="AC48" s="5" t="str">
        <v>00</v>
      </c>
      <c r="AD48" s="5" t="str">
        <v>0e</v>
      </c>
      <c r="AE48" s="5" t="str">
        <v>e0</v>
      </c>
      <c r="AF48" s="5" t="str">
        <v>00</v>
      </c>
      <c r="AG48" s="5" t="str">
        <v>00</v>
      </c>
      <c r="AH48" s="5" t="str">
        <v>89</v>
      </c>
      <c r="AI48" s="5" t="str">
        <v>00</v>
      </c>
      <c r="AJ48" s="5" t="str">
        <v>00</v>
      </c>
      <c r="AK48" s="5" t="str">
        <v>3b</v>
      </c>
    </row>
    <row r="49" spans="1:37" ht="22" customHeight="1" x14ac:dyDescent="0.3">
      <c r="A49" s="2" t="s">
        <v>10</v>
      </c>
      <c r="B49" s="2" t="s">
        <v>5</v>
      </c>
      <c r="C49" s="2">
        <v>30</v>
      </c>
      <c r="D49" s="2">
        <v>4</v>
      </c>
      <c r="E49" s="2" t="s">
        <v>3</v>
      </c>
      <c r="F49" s="5" t="s">
        <v>229</v>
      </c>
      <c r="G49" s="5" t="s">
        <v>230</v>
      </c>
      <c r="H49" s="2" t="str" cm="1">
        <f t="array" ref="H49">_xlfn.LET(
  _xlpm.parts, _xlfn.TEXTSPLIT(G49, " "),
  _xlpm.count, COUNTA(_xlpm.parts),
  _xlpm.sum, SUM(--HEX2DEC(INDEX(_xlpm.parts, _xlfn.SEQUENCE(_xlpm.count - 1)))),
  "Dec: " &amp; _xlpm.sum &amp; " | Hex: " &amp; DEC2HEX(_xlpm.sum)
)</f>
        <v>Dec: 1352 | Hex: 548</v>
      </c>
      <c r="I49" s="2" t="str">
        <f t="shared" si="0"/>
        <v>3C</v>
      </c>
      <c r="J49" s="2" t="b">
        <f t="shared" si="1"/>
        <v>1</v>
      </c>
      <c r="K49" s="5" t="str" cm="1">
        <f t="array" ref="K49:AK49">_xlfn.TEXTSPLIT(G49, " ")</f>
        <v>02</v>
      </c>
      <c r="L49" s="5" t="str">
        <v>20</v>
      </c>
      <c r="M49" s="5" t="str">
        <v>e0</v>
      </c>
      <c r="N49" s="5" t="str">
        <v>04</v>
      </c>
      <c r="O49" s="5" t="str">
        <v>00</v>
      </c>
      <c r="P49" s="5" t="str">
        <v>00</v>
      </c>
      <c r="Q49" s="5" t="str">
        <v>00</v>
      </c>
      <c r="R49" s="5" t="str">
        <v>06</v>
      </c>
      <c r="S49" s="5" t="str">
        <v>02</v>
      </c>
      <c r="T49" s="5" t="str">
        <v>20</v>
      </c>
      <c r="U49" s="5" t="str">
        <v>e0</v>
      </c>
      <c r="V49" s="5" t="str">
        <v>04</v>
      </c>
      <c r="W49" s="5" t="str">
        <v>00</v>
      </c>
      <c r="X49" s="5" t="str">
        <v>49</v>
      </c>
      <c r="Y49" s="5" t="str">
        <v>3c</v>
      </c>
      <c r="Z49" s="5" t="str">
        <v>80</v>
      </c>
      <c r="AA49" s="5" t="str">
        <v>af</v>
      </c>
      <c r="AB49" s="8" t="str">
        <v>0b</v>
      </c>
      <c r="AC49" s="5" t="str">
        <v>00</v>
      </c>
      <c r="AD49" s="5" t="str">
        <v>0e</v>
      </c>
      <c r="AE49" s="5" t="str">
        <v>e0</v>
      </c>
      <c r="AF49" s="5" t="str">
        <v>00</v>
      </c>
      <c r="AG49" s="5" t="str">
        <v>00</v>
      </c>
      <c r="AH49" s="5" t="str">
        <v>89</v>
      </c>
      <c r="AI49" s="5" t="str">
        <v>00</v>
      </c>
      <c r="AJ49" s="5" t="str">
        <v>00</v>
      </c>
      <c r="AK49" s="5" t="str">
        <v>3c</v>
      </c>
    </row>
    <row r="50" spans="1:37" ht="22" customHeight="1" x14ac:dyDescent="0.3">
      <c r="A50" s="2" t="s">
        <v>10</v>
      </c>
      <c r="B50" s="2" t="s">
        <v>5</v>
      </c>
      <c r="C50" s="2">
        <v>30</v>
      </c>
      <c r="D50" s="2">
        <v>5</v>
      </c>
      <c r="E50" s="2" t="s">
        <v>3</v>
      </c>
      <c r="F50" s="5" t="s">
        <v>231</v>
      </c>
      <c r="G50" s="5" t="s">
        <v>232</v>
      </c>
      <c r="H50" s="2" t="str" cm="1">
        <f t="array" ref="H50">_xlfn.LET(
  _xlpm.parts, _xlfn.TEXTSPLIT(G50, " "),
  _xlpm.count, COUNTA(_xlpm.parts),
  _xlpm.sum, SUM(--HEX2DEC(INDEX(_xlpm.parts, _xlfn.SEQUENCE(_xlpm.count - 1)))),
  "Dec: " &amp; _xlpm.sum &amp; " | Hex: " &amp; DEC2HEX(_xlpm.sum)
)</f>
        <v>Dec: 1353 | Hex: 549</v>
      </c>
      <c r="I50" s="2" t="str">
        <f t="shared" si="0"/>
        <v>3D</v>
      </c>
      <c r="J50" s="2" t="b">
        <f t="shared" si="1"/>
        <v>1</v>
      </c>
      <c r="K50" s="5" t="str" cm="1">
        <f t="array" ref="K50:AK50">_xlfn.TEXTSPLIT(G50, " ")</f>
        <v>02</v>
      </c>
      <c r="L50" s="5" t="str">
        <v>20</v>
      </c>
      <c r="M50" s="5" t="str">
        <v>e0</v>
      </c>
      <c r="N50" s="5" t="str">
        <v>04</v>
      </c>
      <c r="O50" s="5" t="str">
        <v>00</v>
      </c>
      <c r="P50" s="5" t="str">
        <v>00</v>
      </c>
      <c r="Q50" s="5" t="str">
        <v>00</v>
      </c>
      <c r="R50" s="5" t="str">
        <v>06</v>
      </c>
      <c r="S50" s="5" t="str">
        <v>02</v>
      </c>
      <c r="T50" s="5" t="str">
        <v>20</v>
      </c>
      <c r="U50" s="5" t="str">
        <v>e0</v>
      </c>
      <c r="V50" s="5" t="str">
        <v>04</v>
      </c>
      <c r="W50" s="5" t="str">
        <v>00</v>
      </c>
      <c r="X50" s="5" t="str">
        <v>49</v>
      </c>
      <c r="Y50" s="5" t="str">
        <v>3c</v>
      </c>
      <c r="Z50" s="5" t="str">
        <v>80</v>
      </c>
      <c r="AA50" s="5" t="str">
        <v>af</v>
      </c>
      <c r="AB50" s="8" t="str">
        <v>0c</v>
      </c>
      <c r="AC50" s="5" t="str">
        <v>00</v>
      </c>
      <c r="AD50" s="5" t="str">
        <v>0e</v>
      </c>
      <c r="AE50" s="5" t="str">
        <v>e0</v>
      </c>
      <c r="AF50" s="5" t="str">
        <v>00</v>
      </c>
      <c r="AG50" s="5" t="str">
        <v>00</v>
      </c>
      <c r="AH50" s="5" t="str">
        <v>89</v>
      </c>
      <c r="AI50" s="5" t="str">
        <v>00</v>
      </c>
      <c r="AJ50" s="5" t="str">
        <v>00</v>
      </c>
      <c r="AK50" s="5" t="str">
        <v>3d</v>
      </c>
    </row>
    <row r="51" spans="1:37" ht="22" customHeight="1" x14ac:dyDescent="0.3">
      <c r="A51" s="2"/>
      <c r="B51" s="2"/>
      <c r="C51" s="2"/>
      <c r="D51" s="2"/>
      <c r="E51" s="2"/>
      <c r="H51" s="2"/>
      <c r="I51" s="2"/>
      <c r="J51" s="2"/>
    </row>
    <row r="52" spans="1:37" ht="22" customHeight="1" x14ac:dyDescent="0.3">
      <c r="A52" s="2" t="s">
        <v>10</v>
      </c>
      <c r="B52" s="2" t="s">
        <v>5</v>
      </c>
      <c r="C52" s="2">
        <v>30</v>
      </c>
      <c r="D52" s="2" t="s">
        <v>3</v>
      </c>
      <c r="E52" s="2" t="s">
        <v>3</v>
      </c>
      <c r="F52" s="5" t="s">
        <v>208</v>
      </c>
      <c r="G52" s="5" t="s">
        <v>209</v>
      </c>
      <c r="H52" s="2" t="str" cm="1">
        <f t="array" ref="H52">_xlfn.LET(
  _xlpm.parts, _xlfn.TEXTSPLIT(G52, " "),
  _xlpm.count, COUNTA(_xlpm.parts),
  _xlpm.sum, SUM(--HEX2DEC(INDEX(_xlpm.parts, _xlfn.SEQUENCE(_xlpm.count - 1)))),
  "Dec: " &amp; _xlpm.sum &amp; " | Hex: " &amp; DEC2HEX(_xlpm.sum)
)</f>
        <v>Dec: 1354 | Hex: 54A</v>
      </c>
      <c r="I52" s="2" t="str">
        <f t="shared" si="0"/>
        <v>3E</v>
      </c>
      <c r="J52" s="2" t="b">
        <f t="shared" si="1"/>
        <v>1</v>
      </c>
      <c r="K52" s="5" t="str" cm="1">
        <f t="array" ref="K52:AK52">_xlfn.TEXTSPLIT(G52, " ")</f>
        <v>02</v>
      </c>
      <c r="L52" s="5" t="str">
        <v>20</v>
      </c>
      <c r="M52" s="5" t="str">
        <v>e0</v>
      </c>
      <c r="N52" s="5" t="str">
        <v>04</v>
      </c>
      <c r="O52" s="5" t="str">
        <v>00</v>
      </c>
      <c r="P52" s="5" t="str">
        <v>00</v>
      </c>
      <c r="Q52" s="5" t="str">
        <v>00</v>
      </c>
      <c r="R52" s="5" t="str">
        <v>06</v>
      </c>
      <c r="S52" s="5" t="str">
        <v>02</v>
      </c>
      <c r="T52" s="5" t="str">
        <v>20</v>
      </c>
      <c r="U52" s="5" t="str">
        <v>e0</v>
      </c>
      <c r="V52" s="5" t="str">
        <v>04</v>
      </c>
      <c r="W52" s="5" t="str">
        <v>00</v>
      </c>
      <c r="X52" s="5" t="str">
        <v>49</v>
      </c>
      <c r="Y52" s="5" t="str">
        <v>3c</v>
      </c>
      <c r="Z52" s="5" t="str">
        <v>80</v>
      </c>
      <c r="AA52" s="8" t="str">
        <v>af</v>
      </c>
      <c r="AB52" s="5" t="str">
        <v>0d</v>
      </c>
      <c r="AC52" s="5" t="str">
        <v>00</v>
      </c>
      <c r="AD52" s="5" t="str">
        <v>0e</v>
      </c>
      <c r="AE52" s="5" t="str">
        <v>e0</v>
      </c>
      <c r="AF52" s="5" t="str">
        <v>00</v>
      </c>
      <c r="AG52" s="5" t="str">
        <v>00</v>
      </c>
      <c r="AH52" s="5" t="str">
        <v>89</v>
      </c>
      <c r="AI52" s="5" t="str">
        <v>00</v>
      </c>
      <c r="AJ52" s="5" t="str">
        <v>00</v>
      </c>
      <c r="AK52" s="5" t="str">
        <v>3e</v>
      </c>
    </row>
    <row r="53" spans="1:37" ht="22" customHeight="1" x14ac:dyDescent="0.3">
      <c r="A53" s="2" t="s">
        <v>10</v>
      </c>
      <c r="B53" s="2" t="s">
        <v>5</v>
      </c>
      <c r="C53" s="2">
        <v>30</v>
      </c>
      <c r="D53" s="2" t="s">
        <v>3</v>
      </c>
      <c r="E53" s="2">
        <v>1</v>
      </c>
      <c r="F53" s="5" t="s">
        <v>233</v>
      </c>
      <c r="G53" s="5" t="s">
        <v>234</v>
      </c>
      <c r="H53" s="2" t="str" cm="1">
        <f t="array" ref="H53">_xlfn.LET(
  _xlpm.parts, _xlfn.TEXTSPLIT(G53, " "),
  _xlpm.count, COUNTA(_xlpm.parts),
  _xlpm.sum, SUM(--HEX2DEC(INDEX(_xlpm.parts, _xlfn.SEQUENCE(_xlpm.count - 1)))),
  "Dec: " &amp; _xlpm.sum &amp; " | Hex: " &amp; DEC2HEX(_xlpm.sum)
)</f>
        <v>Dec: 1340 | Hex: 53C</v>
      </c>
      <c r="I53" s="2" t="str">
        <f t="shared" si="0"/>
        <v>30</v>
      </c>
      <c r="J53" s="2" t="b">
        <f t="shared" si="1"/>
        <v>1</v>
      </c>
      <c r="K53" s="5" t="str" cm="1">
        <f t="array" ref="K53:AK53">_xlfn.TEXTSPLIT(G53, " ")</f>
        <v>02</v>
      </c>
      <c r="L53" s="5" t="str">
        <v>20</v>
      </c>
      <c r="M53" s="5" t="str">
        <v>e0</v>
      </c>
      <c r="N53" s="5" t="str">
        <v>04</v>
      </c>
      <c r="O53" s="5" t="str">
        <v>00</v>
      </c>
      <c r="P53" s="5" t="str">
        <v>00</v>
      </c>
      <c r="Q53" s="5" t="str">
        <v>00</v>
      </c>
      <c r="R53" s="5" t="str">
        <v>06</v>
      </c>
      <c r="S53" s="5" t="str">
        <v>02</v>
      </c>
      <c r="T53" s="5" t="str">
        <v>20</v>
      </c>
      <c r="U53" s="5" t="str">
        <v>e0</v>
      </c>
      <c r="V53" s="5" t="str">
        <v>04</v>
      </c>
      <c r="W53" s="5" t="str">
        <v>00</v>
      </c>
      <c r="X53" s="5" t="str">
        <v>49</v>
      </c>
      <c r="Y53" s="5" t="str">
        <v>3c</v>
      </c>
      <c r="Z53" s="5" t="str">
        <v>80</v>
      </c>
      <c r="AA53" s="8" t="str">
        <v>a1</v>
      </c>
      <c r="AB53" s="5" t="str">
        <v>0d</v>
      </c>
      <c r="AC53" s="5" t="str">
        <v>00</v>
      </c>
      <c r="AD53" s="5" t="str">
        <v>0e</v>
      </c>
      <c r="AE53" s="5" t="str">
        <v>e0</v>
      </c>
      <c r="AF53" s="5" t="str">
        <v>00</v>
      </c>
      <c r="AG53" s="5" t="str">
        <v>00</v>
      </c>
      <c r="AH53" s="5" t="str">
        <v>89</v>
      </c>
      <c r="AI53" s="5" t="str">
        <v>00</v>
      </c>
      <c r="AJ53" s="5" t="str">
        <v>00</v>
      </c>
      <c r="AK53" s="5" t="str">
        <v>30</v>
      </c>
    </row>
    <row r="54" spans="1:37" ht="22" customHeight="1" x14ac:dyDescent="0.3">
      <c r="A54" s="2" t="s">
        <v>10</v>
      </c>
      <c r="B54" s="2" t="s">
        <v>5</v>
      </c>
      <c r="C54" s="2">
        <v>30</v>
      </c>
      <c r="D54" s="2" t="s">
        <v>3</v>
      </c>
      <c r="E54" s="2">
        <v>2</v>
      </c>
      <c r="F54" s="5" t="s">
        <v>235</v>
      </c>
      <c r="G54" s="5" t="s">
        <v>236</v>
      </c>
      <c r="H54" s="2" t="str" cm="1">
        <f t="array" ref="H54">_xlfn.LET(
  _xlpm.parts, _xlfn.TEXTSPLIT(G54, " "),
  _xlpm.count, COUNTA(_xlpm.parts),
  _xlpm.sum, SUM(--HEX2DEC(INDEX(_xlpm.parts, _xlfn.SEQUENCE(_xlpm.count - 1)))),
  "Dec: " &amp; _xlpm.sum &amp; " | Hex: " &amp; DEC2HEX(_xlpm.sum)
)</f>
        <v>Dec: 1341 | Hex: 53D</v>
      </c>
      <c r="I54" s="2" t="str">
        <f t="shared" si="0"/>
        <v>31</v>
      </c>
      <c r="J54" s="2" t="b">
        <f t="shared" si="1"/>
        <v>1</v>
      </c>
      <c r="K54" s="5" t="str" cm="1">
        <f t="array" ref="K54:AK54">_xlfn.TEXTSPLIT(G54, " ")</f>
        <v>02</v>
      </c>
      <c r="L54" s="5" t="str">
        <v>20</v>
      </c>
      <c r="M54" s="5" t="str">
        <v>e0</v>
      </c>
      <c r="N54" s="5" t="str">
        <v>04</v>
      </c>
      <c r="O54" s="5" t="str">
        <v>00</v>
      </c>
      <c r="P54" s="5" t="str">
        <v>00</v>
      </c>
      <c r="Q54" s="5" t="str">
        <v>00</v>
      </c>
      <c r="R54" s="5" t="str">
        <v>06</v>
      </c>
      <c r="S54" s="5" t="str">
        <v>02</v>
      </c>
      <c r="T54" s="5" t="str">
        <v>20</v>
      </c>
      <c r="U54" s="5" t="str">
        <v>e0</v>
      </c>
      <c r="V54" s="5" t="str">
        <v>04</v>
      </c>
      <c r="W54" s="5" t="str">
        <v>00</v>
      </c>
      <c r="X54" s="5" t="str">
        <v>49</v>
      </c>
      <c r="Y54" s="5" t="str">
        <v>3c</v>
      </c>
      <c r="Z54" s="5" t="str">
        <v>80</v>
      </c>
      <c r="AA54" s="8" t="str">
        <v>a2</v>
      </c>
      <c r="AB54" s="5" t="str">
        <v>0d</v>
      </c>
      <c r="AC54" s="5" t="str">
        <v>00</v>
      </c>
      <c r="AD54" s="5" t="str">
        <v>0e</v>
      </c>
      <c r="AE54" s="5" t="str">
        <v>e0</v>
      </c>
      <c r="AF54" s="5" t="str">
        <v>00</v>
      </c>
      <c r="AG54" s="5" t="str">
        <v>00</v>
      </c>
      <c r="AH54" s="5" t="str">
        <v>89</v>
      </c>
      <c r="AI54" s="5" t="str">
        <v>00</v>
      </c>
      <c r="AJ54" s="5" t="str">
        <v>00</v>
      </c>
      <c r="AK54" s="5" t="str">
        <v>31</v>
      </c>
    </row>
    <row r="55" spans="1:37" ht="22" customHeight="1" x14ac:dyDescent="0.3">
      <c r="A55" s="2" t="s">
        <v>10</v>
      </c>
      <c r="B55" s="2" t="s">
        <v>5</v>
      </c>
      <c r="C55" s="2">
        <v>30</v>
      </c>
      <c r="D55" s="2" t="s">
        <v>3</v>
      </c>
      <c r="E55" s="2">
        <v>3</v>
      </c>
      <c r="F55" s="5" t="s">
        <v>237</v>
      </c>
      <c r="G55" s="5" t="s">
        <v>238</v>
      </c>
      <c r="H55" s="2" t="str" cm="1">
        <f t="array" ref="H55">_xlfn.LET(
  _xlpm.parts, _xlfn.TEXTSPLIT(G55, " "),
  _xlpm.count, COUNTA(_xlpm.parts),
  _xlpm.sum, SUM(--HEX2DEC(INDEX(_xlpm.parts, _xlfn.SEQUENCE(_xlpm.count - 1)))),
  "Dec: " &amp; _xlpm.sum &amp; " | Hex: " &amp; DEC2HEX(_xlpm.sum)
)</f>
        <v>Dec: 1342 | Hex: 53E</v>
      </c>
      <c r="I55" s="2" t="str">
        <f t="shared" si="0"/>
        <v>32</v>
      </c>
      <c r="J55" s="2" t="b">
        <f t="shared" si="1"/>
        <v>1</v>
      </c>
      <c r="K55" s="5" t="str" cm="1">
        <f t="array" ref="K55:AK55">_xlfn.TEXTSPLIT(G55, " ")</f>
        <v>02</v>
      </c>
      <c r="L55" s="5" t="str">
        <v>20</v>
      </c>
      <c r="M55" s="5" t="str">
        <v>e0</v>
      </c>
      <c r="N55" s="5" t="str">
        <v>04</v>
      </c>
      <c r="O55" s="5" t="str">
        <v>00</v>
      </c>
      <c r="P55" s="5" t="str">
        <v>00</v>
      </c>
      <c r="Q55" s="5" t="str">
        <v>00</v>
      </c>
      <c r="R55" s="5" t="str">
        <v>06</v>
      </c>
      <c r="S55" s="5" t="str">
        <v>02</v>
      </c>
      <c r="T55" s="5" t="str">
        <v>20</v>
      </c>
      <c r="U55" s="5" t="str">
        <v>e0</v>
      </c>
      <c r="V55" s="5" t="str">
        <v>04</v>
      </c>
      <c r="W55" s="5" t="str">
        <v>00</v>
      </c>
      <c r="X55" s="5" t="str">
        <v>49</v>
      </c>
      <c r="Y55" s="5" t="str">
        <v>3c</v>
      </c>
      <c r="Z55" s="5" t="str">
        <v>80</v>
      </c>
      <c r="AA55" s="8" t="str">
        <v>a3</v>
      </c>
      <c r="AB55" s="5" t="str">
        <v>0d</v>
      </c>
      <c r="AC55" s="5" t="str">
        <v>00</v>
      </c>
      <c r="AD55" s="5" t="str">
        <v>0e</v>
      </c>
      <c r="AE55" s="5" t="str">
        <v>e0</v>
      </c>
      <c r="AF55" s="5" t="str">
        <v>00</v>
      </c>
      <c r="AG55" s="5" t="str">
        <v>00</v>
      </c>
      <c r="AH55" s="5" t="str">
        <v>89</v>
      </c>
      <c r="AI55" s="5" t="str">
        <v>00</v>
      </c>
      <c r="AJ55" s="5" t="str">
        <v>00</v>
      </c>
      <c r="AK55" s="5" t="str">
        <v>32</v>
      </c>
    </row>
    <row r="56" spans="1:37" ht="22" customHeight="1" x14ac:dyDescent="0.3">
      <c r="A56" s="2" t="s">
        <v>10</v>
      </c>
      <c r="B56" s="2" t="s">
        <v>5</v>
      </c>
      <c r="C56" s="2">
        <v>30</v>
      </c>
      <c r="D56" s="2" t="s">
        <v>3</v>
      </c>
      <c r="E56" s="2">
        <v>4</v>
      </c>
      <c r="F56" s="5" t="s">
        <v>239</v>
      </c>
      <c r="G56" s="5" t="s">
        <v>240</v>
      </c>
      <c r="H56" s="2" t="str" cm="1">
        <f t="array" ref="H56">_xlfn.LET(
  _xlpm.parts, _xlfn.TEXTSPLIT(G56, " "),
  _xlpm.count, COUNTA(_xlpm.parts),
  _xlpm.sum, SUM(--HEX2DEC(INDEX(_xlpm.parts, _xlfn.SEQUENCE(_xlpm.count - 1)))),
  "Dec: " &amp; _xlpm.sum &amp; " | Hex: " &amp; DEC2HEX(_xlpm.sum)
)</f>
        <v>Dec: 1343 | Hex: 53F</v>
      </c>
      <c r="I56" s="2" t="str">
        <f t="shared" si="0"/>
        <v>33</v>
      </c>
      <c r="J56" s="2" t="b">
        <f t="shared" si="1"/>
        <v>1</v>
      </c>
      <c r="K56" s="5" t="str" cm="1">
        <f t="array" ref="K56:AK56">_xlfn.TEXTSPLIT(G56, " ")</f>
        <v>02</v>
      </c>
      <c r="L56" s="5" t="str">
        <v>20</v>
      </c>
      <c r="M56" s="5" t="str">
        <v>e0</v>
      </c>
      <c r="N56" s="5" t="str">
        <v>04</v>
      </c>
      <c r="O56" s="5" t="str">
        <v>00</v>
      </c>
      <c r="P56" s="5" t="str">
        <v>00</v>
      </c>
      <c r="Q56" s="5" t="str">
        <v>00</v>
      </c>
      <c r="R56" s="5" t="str">
        <v>06</v>
      </c>
      <c r="S56" s="5" t="str">
        <v>02</v>
      </c>
      <c r="T56" s="5" t="str">
        <v>20</v>
      </c>
      <c r="U56" s="5" t="str">
        <v>e0</v>
      </c>
      <c r="V56" s="5" t="str">
        <v>04</v>
      </c>
      <c r="W56" s="5" t="str">
        <v>00</v>
      </c>
      <c r="X56" s="5" t="str">
        <v>49</v>
      </c>
      <c r="Y56" s="5" t="str">
        <v>3c</v>
      </c>
      <c r="Z56" s="5" t="str">
        <v>80</v>
      </c>
      <c r="AA56" s="8" t="str">
        <v>a4</v>
      </c>
      <c r="AB56" s="5" t="str">
        <v>0d</v>
      </c>
      <c r="AC56" s="5" t="str">
        <v>00</v>
      </c>
      <c r="AD56" s="5" t="str">
        <v>0e</v>
      </c>
      <c r="AE56" s="5" t="str">
        <v>e0</v>
      </c>
      <c r="AF56" s="5" t="str">
        <v>00</v>
      </c>
      <c r="AG56" s="5" t="str">
        <v>00</v>
      </c>
      <c r="AH56" s="5" t="str">
        <v>89</v>
      </c>
      <c r="AI56" s="5" t="str">
        <v>00</v>
      </c>
      <c r="AJ56" s="5" t="str">
        <v>00</v>
      </c>
      <c r="AK56" s="5" t="str">
        <v>33</v>
      </c>
    </row>
    <row r="57" spans="1:37" ht="22" customHeight="1" x14ac:dyDescent="0.3">
      <c r="A57" s="2" t="s">
        <v>10</v>
      </c>
      <c r="B57" s="2" t="s">
        <v>5</v>
      </c>
      <c r="C57" s="2">
        <v>30</v>
      </c>
      <c r="D57" s="2" t="s">
        <v>3</v>
      </c>
      <c r="E57" s="2">
        <v>5</v>
      </c>
      <c r="F57" s="5" t="s">
        <v>241</v>
      </c>
      <c r="G57" s="5" t="s">
        <v>242</v>
      </c>
      <c r="H57" s="2" t="str" cm="1">
        <f t="array" ref="H57">_xlfn.LET(
  _xlpm.parts, _xlfn.TEXTSPLIT(G57, " "),
  _xlpm.count, COUNTA(_xlpm.parts),
  _xlpm.sum, SUM(--HEX2DEC(INDEX(_xlpm.parts, _xlfn.SEQUENCE(_xlpm.count - 1)))),
  "Dec: " &amp; _xlpm.sum &amp; " | Hex: " &amp; DEC2HEX(_xlpm.sum)
)</f>
        <v>Dec: 1344 | Hex: 540</v>
      </c>
      <c r="I57" s="2" t="str">
        <f t="shared" si="0"/>
        <v>34</v>
      </c>
      <c r="J57" s="2" t="b">
        <f t="shared" si="1"/>
        <v>1</v>
      </c>
      <c r="K57" s="5" t="str" cm="1">
        <f t="array" ref="K57:AK57">_xlfn.TEXTSPLIT(G57, " ")</f>
        <v>02</v>
      </c>
      <c r="L57" s="5" t="str">
        <v>20</v>
      </c>
      <c r="M57" s="5" t="str">
        <v>e0</v>
      </c>
      <c r="N57" s="5" t="str">
        <v>04</v>
      </c>
      <c r="O57" s="5" t="str">
        <v>00</v>
      </c>
      <c r="P57" s="5" t="str">
        <v>00</v>
      </c>
      <c r="Q57" s="5" t="str">
        <v>00</v>
      </c>
      <c r="R57" s="5" t="str">
        <v>06</v>
      </c>
      <c r="S57" s="5" t="str">
        <v>02</v>
      </c>
      <c r="T57" s="5" t="str">
        <v>20</v>
      </c>
      <c r="U57" s="5" t="str">
        <v>e0</v>
      </c>
      <c r="V57" s="5" t="str">
        <v>04</v>
      </c>
      <c r="W57" s="5" t="str">
        <v>00</v>
      </c>
      <c r="X57" s="5" t="str">
        <v>49</v>
      </c>
      <c r="Y57" s="5" t="str">
        <v>3c</v>
      </c>
      <c r="Z57" s="5" t="str">
        <v>80</v>
      </c>
      <c r="AA57" s="8" t="str">
        <v>a5</v>
      </c>
      <c r="AB57" s="5" t="str">
        <v>0d</v>
      </c>
      <c r="AC57" s="5" t="str">
        <v>00</v>
      </c>
      <c r="AD57" s="5" t="str">
        <v>0e</v>
      </c>
      <c r="AE57" s="5" t="str">
        <v>e0</v>
      </c>
      <c r="AF57" s="5" t="str">
        <v>00</v>
      </c>
      <c r="AG57" s="5" t="str">
        <v>00</v>
      </c>
      <c r="AH57" s="5" t="str">
        <v>89</v>
      </c>
      <c r="AI57" s="5" t="str">
        <v>00</v>
      </c>
      <c r="AJ57" s="5" t="str">
        <v>00</v>
      </c>
      <c r="AK57" s="5" t="str">
        <v>34</v>
      </c>
    </row>
    <row r="58" spans="1:37" ht="22" customHeight="1" x14ac:dyDescent="0.3">
      <c r="A58" s="2"/>
      <c r="B58" s="2"/>
      <c r="C58" s="2"/>
      <c r="D58" s="2"/>
      <c r="E58" s="2"/>
    </row>
    <row r="59" spans="1:37" ht="22" customHeight="1" x14ac:dyDescent="0.3">
      <c r="A59" s="2"/>
      <c r="B59" s="2"/>
      <c r="C59" s="2"/>
      <c r="D59" s="2"/>
      <c r="E59" s="2"/>
      <c r="F59" s="2"/>
      <c r="G59" s="2"/>
    </row>
    <row r="60" spans="1:37" ht="22" customHeight="1" x14ac:dyDescent="0.3">
      <c r="A60" s="2"/>
      <c r="B60" s="2"/>
      <c r="C60" s="2"/>
      <c r="D60" s="2"/>
      <c r="E60" s="2"/>
      <c r="F60" s="2"/>
      <c r="G60" s="2"/>
    </row>
    <row r="61" spans="1:37" ht="22" customHeight="1" x14ac:dyDescent="0.3">
      <c r="A61" s="2"/>
      <c r="B61" s="2"/>
      <c r="C61" s="2"/>
      <c r="D61" s="2"/>
      <c r="E61" s="2"/>
      <c r="F61" s="2"/>
      <c r="G61" s="2"/>
    </row>
    <row r="62" spans="1:37" ht="22" customHeight="1" x14ac:dyDescent="0.3">
      <c r="A62" s="2"/>
      <c r="B62" s="2"/>
      <c r="C62" s="2"/>
      <c r="D62" s="2"/>
      <c r="E62" s="2"/>
      <c r="F62" s="2"/>
      <c r="G62" s="2"/>
    </row>
    <row r="63" spans="1:37" ht="22" customHeight="1" x14ac:dyDescent="0.3">
      <c r="A63" s="2"/>
      <c r="B63" s="2"/>
      <c r="C63" s="2"/>
      <c r="D63" s="2"/>
      <c r="E63" s="2"/>
      <c r="F63" s="2"/>
      <c r="G63" s="2"/>
    </row>
    <row r="64" spans="1:37" ht="22" customHeight="1" x14ac:dyDescent="0.3">
      <c r="A64" s="2"/>
      <c r="B64" s="2"/>
      <c r="C64" s="2"/>
      <c r="D64" s="2"/>
      <c r="E64" s="2"/>
      <c r="F64" s="2"/>
      <c r="G64" s="2"/>
    </row>
    <row r="65" spans="1:7" ht="22" customHeight="1" x14ac:dyDescent="0.3">
      <c r="A65" s="2"/>
      <c r="B65" s="2"/>
      <c r="C65" s="2"/>
      <c r="D65" s="2"/>
      <c r="E65" s="2"/>
      <c r="F65" s="2"/>
      <c r="G65" s="2"/>
    </row>
    <row r="66" spans="1:7" ht="22" customHeight="1" x14ac:dyDescent="0.3">
      <c r="A66" s="2"/>
      <c r="B66" s="2"/>
      <c r="C66" s="2"/>
      <c r="D66" s="2"/>
      <c r="E66" s="2"/>
      <c r="F66" s="2"/>
      <c r="G66" s="2"/>
    </row>
    <row r="67" spans="1:7" ht="22" customHeight="1" x14ac:dyDescent="0.3">
      <c r="A67" s="2"/>
      <c r="B67" s="2"/>
      <c r="C67" s="2"/>
      <c r="D67" s="2"/>
      <c r="E67" s="2"/>
      <c r="F67" s="2"/>
      <c r="G67" s="2"/>
    </row>
    <row r="68" spans="1:7" ht="22" customHeight="1" x14ac:dyDescent="0.3">
      <c r="A68" s="2"/>
      <c r="B68" s="2"/>
      <c r="C68" s="2"/>
      <c r="D68" s="2"/>
      <c r="E68" s="2"/>
      <c r="F68" s="2"/>
      <c r="G68" s="2"/>
    </row>
    <row r="69" spans="1:7" ht="22" customHeight="1" x14ac:dyDescent="0.3">
      <c r="A69" s="2"/>
      <c r="B69" s="2"/>
      <c r="C69" s="2"/>
      <c r="D69" s="2"/>
      <c r="E69" s="2"/>
      <c r="F69" s="2"/>
      <c r="G69" s="2"/>
    </row>
    <row r="70" spans="1:7" ht="22" customHeight="1" x14ac:dyDescent="0.3">
      <c r="A70" s="2"/>
      <c r="B70" s="2"/>
      <c r="C70" s="2"/>
      <c r="D70" s="2"/>
      <c r="E70" s="2"/>
      <c r="F70" s="2"/>
      <c r="G70" s="2"/>
    </row>
    <row r="71" spans="1:7" ht="22" customHeight="1" x14ac:dyDescent="0.3">
      <c r="A71" s="2"/>
      <c r="B71" s="2"/>
      <c r="C71" s="2"/>
      <c r="D71" s="2"/>
      <c r="E71" s="2"/>
      <c r="F71" s="2"/>
      <c r="G71" s="2"/>
    </row>
    <row r="72" spans="1:7" ht="22" customHeight="1" x14ac:dyDescent="0.3">
      <c r="A72" s="2"/>
      <c r="B72" s="2"/>
      <c r="C72" s="2"/>
      <c r="D72" s="2"/>
      <c r="E72" s="2"/>
      <c r="F72" s="2"/>
      <c r="G72" s="2"/>
    </row>
    <row r="73" spans="1:7" ht="22" customHeight="1" x14ac:dyDescent="0.3">
      <c r="A73" s="2"/>
      <c r="B73" s="2"/>
      <c r="C73" s="2"/>
      <c r="D73" s="2"/>
      <c r="E73" s="2"/>
      <c r="F73" s="2"/>
      <c r="G7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DB4E-3AD0-2648-9E6A-3F609060F68D}">
  <sheetPr codeName="Sheet3"/>
  <dimension ref="A1:AK57"/>
  <sheetViews>
    <sheetView topLeftCell="F1" zoomScale="150" zoomScaleNormal="75" workbookViewId="0">
      <selection activeCell="G2" sqref="G2"/>
    </sheetView>
  </sheetViews>
  <sheetFormatPr baseColWidth="10" defaultRowHeight="22" customHeight="1" x14ac:dyDescent="0.3"/>
  <cols>
    <col min="1" max="3" width="10.83203125" style="5"/>
    <col min="4" max="4" width="18" style="5" bestFit="1" customWidth="1"/>
    <col min="5" max="5" width="18.1640625" style="5" bestFit="1" customWidth="1"/>
    <col min="6" max="6" width="40.83203125" style="5" customWidth="1"/>
    <col min="7" max="7" width="93.83203125" style="5" bestFit="1" customWidth="1"/>
    <col min="8" max="8" width="25.1640625" style="5" bestFit="1" customWidth="1"/>
    <col min="9" max="9" width="14" style="5" bestFit="1" customWidth="1"/>
    <col min="10" max="10" width="11" style="5" bestFit="1" customWidth="1"/>
    <col min="11" max="11" width="10.6640625" style="5" bestFit="1" customWidth="1"/>
    <col min="12" max="12" width="4.83203125" style="5" bestFit="1" customWidth="1"/>
    <col min="13" max="37" width="4.1640625" style="5" customWidth="1"/>
    <col min="38" max="16384" width="10.83203125" style="5"/>
  </cols>
  <sheetData>
    <row r="1" spans="1:37" ht="22" customHeight="1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1" t="s">
        <v>16</v>
      </c>
      <c r="G1" s="2" t="s">
        <v>4</v>
      </c>
      <c r="H1" s="2" t="s">
        <v>332</v>
      </c>
      <c r="I1" s="2" t="s">
        <v>337</v>
      </c>
      <c r="J1" s="7" t="s">
        <v>338</v>
      </c>
      <c r="K1" s="5">
        <v>0</v>
      </c>
      <c r="L1" s="5">
        <v>1</v>
      </c>
      <c r="M1" s="5">
        <v>2</v>
      </c>
      <c r="N1" s="5">
        <v>3</v>
      </c>
      <c r="O1" s="5">
        <v>4</v>
      </c>
      <c r="P1" s="5">
        <v>5</v>
      </c>
      <c r="Q1" s="5">
        <v>6</v>
      </c>
      <c r="R1" s="5">
        <v>7</v>
      </c>
      <c r="S1" s="5">
        <v>8</v>
      </c>
      <c r="T1" s="5">
        <v>9</v>
      </c>
      <c r="U1" s="5">
        <v>10</v>
      </c>
      <c r="V1" s="5">
        <v>11</v>
      </c>
      <c r="W1" s="5">
        <v>12</v>
      </c>
      <c r="X1" s="8">
        <v>13</v>
      </c>
      <c r="Y1" s="8">
        <v>14</v>
      </c>
      <c r="Z1" s="5">
        <v>15</v>
      </c>
      <c r="AA1" s="8">
        <v>16</v>
      </c>
      <c r="AB1" s="8">
        <v>17</v>
      </c>
      <c r="AC1" s="5">
        <v>18</v>
      </c>
      <c r="AD1" s="5">
        <v>19</v>
      </c>
      <c r="AE1" s="5">
        <v>20</v>
      </c>
      <c r="AF1" s="8">
        <v>21</v>
      </c>
      <c r="AG1" s="5">
        <v>22</v>
      </c>
      <c r="AH1" s="5">
        <v>23</v>
      </c>
      <c r="AI1" s="5">
        <v>24</v>
      </c>
      <c r="AJ1" s="5">
        <v>25</v>
      </c>
      <c r="AK1" s="5">
        <v>26</v>
      </c>
    </row>
    <row r="2" spans="1:37" ht="22" customHeight="1" x14ac:dyDescent="0.3">
      <c r="A2" s="2" t="s">
        <v>107</v>
      </c>
      <c r="B2" s="2" t="s">
        <v>3</v>
      </c>
      <c r="C2" s="2">
        <v>16</v>
      </c>
      <c r="D2" s="2" t="s">
        <v>3</v>
      </c>
      <c r="E2" s="2" t="s">
        <v>3</v>
      </c>
      <c r="F2" s="6" t="s">
        <v>248</v>
      </c>
      <c r="G2" s="2" t="s">
        <v>249</v>
      </c>
      <c r="H2" s="2" t="str" cm="1">
        <f t="array" ref="H2">_xlfn.LET(
  _xlpm.parts, _xlfn.TEXTSPLIT(G2, " "),
  _xlpm.count, COUNTA(_xlpm.parts),
  _xlpm.sum, SUM(--HEX2DEC(INDEX(_xlpm.parts, _xlfn.SEQUENCE(_xlpm.count - 1)))),
  "Dec: " &amp; _xlpm.sum &amp; " | Hex: " &amp; DEC2HEX(_xlpm.sum)
)</f>
        <v>Dec: 1310 | Hex: 51E</v>
      </c>
      <c r="I2" s="2" t="str">
        <f>DEC2HEX(MOD(VALUE(MID(H2, 6, FIND("|", H2)-7)) - 12, 256), 2)</f>
        <v>12</v>
      </c>
      <c r="J2" s="2" t="b">
        <f>I2=AK2</f>
        <v>1</v>
      </c>
      <c r="K2" s="5" t="str" cm="1">
        <f t="array" ref="K2:AK2">_xlfn.TEXTSPLIT(G2, " ")</f>
        <v>02</v>
      </c>
      <c r="L2" s="5" t="str">
        <v>20</v>
      </c>
      <c r="M2" s="5" t="str">
        <v>e0</v>
      </c>
      <c r="N2" s="5" t="str">
        <v>04</v>
      </c>
      <c r="O2" s="5" t="str">
        <v>00</v>
      </c>
      <c r="P2" s="5" t="str">
        <v>00</v>
      </c>
      <c r="Q2" s="5" t="str">
        <v>00</v>
      </c>
      <c r="R2" s="5" t="str">
        <v>06</v>
      </c>
      <c r="S2" s="5" t="str">
        <v>02</v>
      </c>
      <c r="T2" s="5" t="str">
        <v>20</v>
      </c>
      <c r="U2" s="5" t="str">
        <v>e0</v>
      </c>
      <c r="V2" s="5" t="str">
        <v>04</v>
      </c>
      <c r="W2" s="5" t="str">
        <v>00</v>
      </c>
      <c r="X2" s="8" t="str">
        <v>39</v>
      </c>
      <c r="Y2" s="5" t="str">
        <v>20</v>
      </c>
      <c r="Z2" s="5" t="str">
        <v>80</v>
      </c>
      <c r="AA2" s="5" t="str">
        <v>af</v>
      </c>
      <c r="AB2" s="5" t="str">
        <v>0d</v>
      </c>
      <c r="AC2" s="5" t="str">
        <v>00</v>
      </c>
      <c r="AD2" s="5" t="str">
        <v>0e</v>
      </c>
      <c r="AE2" s="5" t="str">
        <v>e0</v>
      </c>
      <c r="AF2" s="5" t="str">
        <v>00</v>
      </c>
      <c r="AG2" s="5" t="str">
        <v>00</v>
      </c>
      <c r="AH2" s="5" t="str">
        <v>89</v>
      </c>
      <c r="AI2" s="5" t="str">
        <v>00</v>
      </c>
      <c r="AJ2" s="5" t="str">
        <v>00</v>
      </c>
      <c r="AK2" s="5" t="str">
        <v>12</v>
      </c>
    </row>
    <row r="3" spans="1:37" ht="22" customHeight="1" x14ac:dyDescent="0.3">
      <c r="A3" s="2" t="s">
        <v>108</v>
      </c>
      <c r="B3" s="2" t="s">
        <v>3</v>
      </c>
      <c r="C3" s="2">
        <v>16</v>
      </c>
      <c r="D3" s="2" t="s">
        <v>3</v>
      </c>
      <c r="E3" s="2" t="s">
        <v>3</v>
      </c>
      <c r="F3" s="6" t="s">
        <v>246</v>
      </c>
      <c r="G3" s="2" t="s">
        <v>247</v>
      </c>
      <c r="H3" s="2" t="str" cm="1">
        <f t="array" ref="H3">_xlfn.LET(
  _xlpm.parts, _xlfn.TEXTSPLIT(G3, " "),
  _xlpm.count, COUNTA(_xlpm.parts),
  _xlpm.sum, SUM(--HEX2DEC(INDEX(_xlpm.parts, _xlfn.SEQUENCE(_xlpm.count - 1)))),
  "Dec: " &amp; _xlpm.sum &amp; " | Hex: " &amp; DEC2HEX(_xlpm.sum)
)</f>
        <v>Dec: 1309 | Hex: 51D</v>
      </c>
      <c r="I3" s="2" t="str">
        <f t="shared" ref="I3" si="0">DEC2HEX(MOD(VALUE(MID(H3, 6, FIND("|", H3)-7)) - 12, 256), 2)</f>
        <v>11</v>
      </c>
      <c r="J3" s="2" t="b">
        <f>I3=AK3</f>
        <v>1</v>
      </c>
      <c r="K3" s="5" t="str" cm="1">
        <f t="array" ref="K3:AK3">_xlfn.TEXTSPLIT(G3, " ")</f>
        <v>02</v>
      </c>
      <c r="L3" s="5" t="str">
        <v>20</v>
      </c>
      <c r="M3" s="5" t="str">
        <v>e0</v>
      </c>
      <c r="N3" s="5" t="str">
        <v>04</v>
      </c>
      <c r="O3" s="5" t="str">
        <v>00</v>
      </c>
      <c r="P3" s="5" t="str">
        <v>00</v>
      </c>
      <c r="Q3" s="5" t="str">
        <v>00</v>
      </c>
      <c r="R3" s="5" t="str">
        <v>06</v>
      </c>
      <c r="S3" s="5" t="str">
        <v>02</v>
      </c>
      <c r="T3" s="5" t="str">
        <v>20</v>
      </c>
      <c r="U3" s="5" t="str">
        <v>e0</v>
      </c>
      <c r="V3" s="5" t="str">
        <v>04</v>
      </c>
      <c r="W3" s="5" t="str">
        <v>00</v>
      </c>
      <c r="X3" s="8" t="str">
        <v>38</v>
      </c>
      <c r="Y3" s="5" t="str">
        <v>20</v>
      </c>
      <c r="Z3" s="5" t="str">
        <v>80</v>
      </c>
      <c r="AA3" s="5" t="str">
        <v>af</v>
      </c>
      <c r="AB3" s="5" t="str">
        <v>0d</v>
      </c>
      <c r="AC3" s="5" t="str">
        <v>00</v>
      </c>
      <c r="AD3" s="5" t="str">
        <v>0e</v>
      </c>
      <c r="AE3" s="5" t="str">
        <v>e0</v>
      </c>
      <c r="AF3" s="5" t="str">
        <v>00</v>
      </c>
      <c r="AG3" s="5" t="str">
        <v>00</v>
      </c>
      <c r="AH3" s="5" t="str">
        <v>89</v>
      </c>
      <c r="AI3" s="5" t="str">
        <v>00</v>
      </c>
      <c r="AJ3" s="5" t="str">
        <v>00</v>
      </c>
      <c r="AK3" s="5" t="str">
        <v>11</v>
      </c>
    </row>
    <row r="4" spans="1:37" ht="22" customHeight="1" x14ac:dyDescent="0.3">
      <c r="A4" s="2"/>
      <c r="B4" s="2"/>
      <c r="C4" s="2"/>
      <c r="D4" s="2"/>
      <c r="E4" s="2"/>
      <c r="H4" s="2"/>
      <c r="I4" s="2"/>
      <c r="J4" s="2"/>
    </row>
    <row r="5" spans="1:37" ht="22" customHeight="1" x14ac:dyDescent="0.3">
      <c r="A5" s="2" t="s">
        <v>2</v>
      </c>
      <c r="B5" s="2" t="s">
        <v>3</v>
      </c>
      <c r="C5" s="2">
        <v>16</v>
      </c>
      <c r="D5" s="2" t="s">
        <v>3</v>
      </c>
      <c r="E5" s="2" t="s">
        <v>3</v>
      </c>
      <c r="F5" s="6" t="s">
        <v>250</v>
      </c>
      <c r="G5" s="5" t="s">
        <v>249</v>
      </c>
      <c r="H5" s="2" t="str" cm="1">
        <f t="array" ref="H5">_xlfn.LET(
  _xlpm.parts, _xlfn.TEXTSPLIT(G5, " "),
  _xlpm.count, COUNTA(_xlpm.parts),
  _xlpm.sum, SUM(--HEX2DEC(INDEX(_xlpm.parts, _xlfn.SEQUENCE(_xlpm.count - 1)))),
  "Dec: " &amp; _xlpm.sum &amp; " | Hex: " &amp; DEC2HEX(_xlpm.sum)
)</f>
        <v>Dec: 1310 | Hex: 51E</v>
      </c>
      <c r="I5" s="2" t="str">
        <f t="shared" ref="I5:I33" si="1">DEC2HEX(MOD(VALUE(MID(H5, 6, FIND("|", H5)-7)) - 12, 256), 2)</f>
        <v>12</v>
      </c>
      <c r="J5" s="2" t="b">
        <f>I5=AK5</f>
        <v>1</v>
      </c>
      <c r="K5" s="5" t="str" cm="1">
        <f t="array" ref="K5:AK5">_xlfn.TEXTSPLIT(G5, " ")</f>
        <v>02</v>
      </c>
      <c r="L5" s="5" t="str">
        <v>20</v>
      </c>
      <c r="M5" s="5" t="str">
        <v>e0</v>
      </c>
      <c r="N5" s="5" t="str">
        <v>04</v>
      </c>
      <c r="O5" s="5" t="str">
        <v>00</v>
      </c>
      <c r="P5" s="5" t="str">
        <v>00</v>
      </c>
      <c r="Q5" s="5" t="str">
        <v>00</v>
      </c>
      <c r="R5" s="5" t="str">
        <v>06</v>
      </c>
      <c r="S5" s="5" t="str">
        <v>02</v>
      </c>
      <c r="T5" s="5" t="str">
        <v>20</v>
      </c>
      <c r="U5" s="5" t="str">
        <v>e0</v>
      </c>
      <c r="V5" s="5" t="str">
        <v>04</v>
      </c>
      <c r="W5" s="5" t="str">
        <v>00</v>
      </c>
      <c r="X5" s="5" t="str">
        <v>39</v>
      </c>
      <c r="Y5" s="8" t="str">
        <v>20</v>
      </c>
      <c r="Z5" s="5" t="str">
        <v>80</v>
      </c>
      <c r="AA5" s="5" t="str">
        <v>af</v>
      </c>
      <c r="AB5" s="5" t="str">
        <v>0d</v>
      </c>
      <c r="AC5" s="5" t="str">
        <v>00</v>
      </c>
      <c r="AD5" s="5" t="str">
        <v>0e</v>
      </c>
      <c r="AE5" s="5" t="str">
        <v>e0</v>
      </c>
      <c r="AF5" s="5" t="str">
        <v>00</v>
      </c>
      <c r="AG5" s="5" t="str">
        <v>00</v>
      </c>
      <c r="AH5" s="5" t="str">
        <v>89</v>
      </c>
      <c r="AI5" s="5" t="str">
        <v>00</v>
      </c>
      <c r="AJ5" s="5" t="str">
        <v>00</v>
      </c>
      <c r="AK5" s="5" t="str">
        <v>12</v>
      </c>
    </row>
    <row r="6" spans="1:37" ht="22" customHeight="1" x14ac:dyDescent="0.3">
      <c r="A6" s="2" t="s">
        <v>2</v>
      </c>
      <c r="B6" s="2" t="s">
        <v>3</v>
      </c>
      <c r="C6" s="2">
        <v>16.5</v>
      </c>
      <c r="D6" s="2" t="s">
        <v>3</v>
      </c>
      <c r="E6" s="2" t="s">
        <v>3</v>
      </c>
      <c r="F6" s="6" t="s">
        <v>251</v>
      </c>
      <c r="G6" s="5" t="s">
        <v>252</v>
      </c>
      <c r="H6" s="2" t="str" cm="1">
        <f t="array" ref="H6">_xlfn.LET(
  _xlpm.parts, _xlfn.TEXTSPLIT(G6, " "),
  _xlpm.count, COUNTA(_xlpm.parts),
  _xlpm.sum, SUM(--HEX2DEC(INDEX(_xlpm.parts, _xlfn.SEQUENCE(_xlpm.count - 1)))),
  "Dec: " &amp; _xlpm.sum &amp; " | Hex: " &amp; DEC2HEX(_xlpm.sum)
)</f>
        <v>Dec: 1311 | Hex: 51F</v>
      </c>
      <c r="I6" s="2" t="str">
        <f t="shared" si="1"/>
        <v>13</v>
      </c>
      <c r="J6" s="2" t="b">
        <f t="shared" ref="J6:J33" si="2">I6=AK6</f>
        <v>1</v>
      </c>
      <c r="K6" s="5" t="str" cm="1">
        <f t="array" ref="K6:AK6">_xlfn.TEXTSPLIT(G6, " ")</f>
        <v>02</v>
      </c>
      <c r="L6" s="5" t="str">
        <v>20</v>
      </c>
      <c r="M6" s="5" t="str">
        <v>e0</v>
      </c>
      <c r="N6" s="5" t="str">
        <v>04</v>
      </c>
      <c r="O6" s="5" t="str">
        <v>00</v>
      </c>
      <c r="P6" s="5" t="str">
        <v>00</v>
      </c>
      <c r="Q6" s="5" t="str">
        <v>00</v>
      </c>
      <c r="R6" s="5" t="str">
        <v>06</v>
      </c>
      <c r="S6" s="5" t="str">
        <v>02</v>
      </c>
      <c r="T6" s="5" t="str">
        <v>20</v>
      </c>
      <c r="U6" s="5" t="str">
        <v>e0</v>
      </c>
      <c r="V6" s="5" t="str">
        <v>04</v>
      </c>
      <c r="W6" s="5" t="str">
        <v>00</v>
      </c>
      <c r="X6" s="5" t="str">
        <v>39</v>
      </c>
      <c r="Y6" s="8" t="str">
        <v>21</v>
      </c>
      <c r="Z6" s="5" t="str">
        <v>80</v>
      </c>
      <c r="AA6" s="5" t="str">
        <v>af</v>
      </c>
      <c r="AB6" s="5" t="str">
        <v>0d</v>
      </c>
      <c r="AC6" s="5" t="str">
        <v>00</v>
      </c>
      <c r="AD6" s="5" t="str">
        <v>0e</v>
      </c>
      <c r="AE6" s="5" t="str">
        <v>e0</v>
      </c>
      <c r="AF6" s="5" t="str">
        <v>00</v>
      </c>
      <c r="AG6" s="5" t="str">
        <v>00</v>
      </c>
      <c r="AH6" s="5" t="str">
        <v>89</v>
      </c>
      <c r="AI6" s="5" t="str">
        <v>00</v>
      </c>
      <c r="AJ6" s="5" t="str">
        <v>00</v>
      </c>
      <c r="AK6" s="5" t="str">
        <v>13</v>
      </c>
    </row>
    <row r="7" spans="1:37" ht="22" customHeight="1" x14ac:dyDescent="0.3">
      <c r="A7" s="2" t="s">
        <v>2</v>
      </c>
      <c r="B7" s="2" t="s">
        <v>3</v>
      </c>
      <c r="C7" s="2">
        <v>17</v>
      </c>
      <c r="D7" s="2" t="s">
        <v>3</v>
      </c>
      <c r="E7" s="2" t="s">
        <v>3</v>
      </c>
      <c r="F7" s="6" t="s">
        <v>253</v>
      </c>
      <c r="G7" s="5" t="s">
        <v>257</v>
      </c>
      <c r="H7" s="2" t="str" cm="1">
        <f t="array" ref="H7">_xlfn.LET(
  _xlpm.parts, _xlfn.TEXTSPLIT(G7, " "),
  _xlpm.count, COUNTA(_xlpm.parts),
  _xlpm.sum, SUM(--HEX2DEC(INDEX(_xlpm.parts, _xlfn.SEQUENCE(_xlpm.count - 1)))),
  "Dec: " &amp; _xlpm.sum &amp; " | Hex: " &amp; DEC2HEX(_xlpm.sum)
)</f>
        <v>Dec: 1312 | Hex: 520</v>
      </c>
      <c r="I7" s="2" t="str">
        <f t="shared" si="1"/>
        <v>14</v>
      </c>
      <c r="J7" s="2" t="b">
        <f t="shared" si="2"/>
        <v>1</v>
      </c>
      <c r="K7" s="5" t="str" cm="1">
        <f t="array" ref="K7:AK7">_xlfn.TEXTSPLIT(G7, " ")</f>
        <v>02</v>
      </c>
      <c r="L7" s="5" t="str">
        <v>20</v>
      </c>
      <c r="M7" s="5" t="str">
        <v>e0</v>
      </c>
      <c r="N7" s="5" t="str">
        <v>04</v>
      </c>
      <c r="O7" s="5" t="str">
        <v>00</v>
      </c>
      <c r="P7" s="5" t="str">
        <v>00</v>
      </c>
      <c r="Q7" s="5" t="str">
        <v>00</v>
      </c>
      <c r="R7" s="5" t="str">
        <v>06</v>
      </c>
      <c r="S7" s="5" t="str">
        <v>02</v>
      </c>
      <c r="T7" s="5" t="str">
        <v>20</v>
      </c>
      <c r="U7" s="5" t="str">
        <v>e0</v>
      </c>
      <c r="V7" s="5" t="str">
        <v>04</v>
      </c>
      <c r="W7" s="5" t="str">
        <v>00</v>
      </c>
      <c r="X7" s="5" t="str">
        <v>39</v>
      </c>
      <c r="Y7" s="8" t="str">
        <v>22</v>
      </c>
      <c r="Z7" s="5" t="str">
        <v>80</v>
      </c>
      <c r="AA7" s="5" t="str">
        <v>af</v>
      </c>
      <c r="AB7" s="5" t="str">
        <v>0d</v>
      </c>
      <c r="AC7" s="5" t="str">
        <v>00</v>
      </c>
      <c r="AD7" s="5" t="str">
        <v>0e</v>
      </c>
      <c r="AE7" s="5" t="str">
        <v>e0</v>
      </c>
      <c r="AF7" s="5" t="str">
        <v>00</v>
      </c>
      <c r="AG7" s="5" t="str">
        <v>00</v>
      </c>
      <c r="AH7" s="5" t="str">
        <v>89</v>
      </c>
      <c r="AI7" s="5" t="str">
        <v>00</v>
      </c>
      <c r="AJ7" s="5" t="str">
        <v>00</v>
      </c>
      <c r="AK7" s="5" t="str">
        <v>14</v>
      </c>
    </row>
    <row r="8" spans="1:37" ht="22" customHeight="1" x14ac:dyDescent="0.3">
      <c r="A8" s="2" t="s">
        <v>2</v>
      </c>
      <c r="B8" s="2" t="s">
        <v>3</v>
      </c>
      <c r="C8" s="2">
        <v>17.5</v>
      </c>
      <c r="D8" s="2" t="s">
        <v>3</v>
      </c>
      <c r="E8" s="2" t="s">
        <v>3</v>
      </c>
      <c r="F8" s="6" t="s">
        <v>254</v>
      </c>
      <c r="G8" s="5" t="s">
        <v>258</v>
      </c>
      <c r="H8" s="2" t="str" cm="1">
        <f t="array" ref="H8">_xlfn.LET(
  _xlpm.parts, _xlfn.TEXTSPLIT(G8, " "),
  _xlpm.count, COUNTA(_xlpm.parts),
  _xlpm.sum, SUM(--HEX2DEC(INDEX(_xlpm.parts, _xlfn.SEQUENCE(_xlpm.count - 1)))),
  "Dec: " &amp; _xlpm.sum &amp; " | Hex: " &amp; DEC2HEX(_xlpm.sum)
)</f>
        <v>Dec: 1313 | Hex: 521</v>
      </c>
      <c r="I8" s="2" t="str">
        <f t="shared" si="1"/>
        <v>15</v>
      </c>
      <c r="J8" s="2" t="b">
        <f t="shared" si="2"/>
        <v>1</v>
      </c>
      <c r="K8" s="5" t="str" cm="1">
        <f t="array" ref="K8:AK8">_xlfn.TEXTSPLIT(G8, " ")</f>
        <v>02</v>
      </c>
      <c r="L8" s="5" t="str">
        <v>20</v>
      </c>
      <c r="M8" s="5" t="str">
        <v>e0</v>
      </c>
      <c r="N8" s="5" t="str">
        <v>04</v>
      </c>
      <c r="O8" s="5" t="str">
        <v>00</v>
      </c>
      <c r="P8" s="5" t="str">
        <v>00</v>
      </c>
      <c r="Q8" s="5" t="str">
        <v>00</v>
      </c>
      <c r="R8" s="5" t="str">
        <v>06</v>
      </c>
      <c r="S8" s="5" t="str">
        <v>02</v>
      </c>
      <c r="T8" s="5" t="str">
        <v>20</v>
      </c>
      <c r="U8" s="5" t="str">
        <v>e0</v>
      </c>
      <c r="V8" s="5" t="str">
        <v>04</v>
      </c>
      <c r="W8" s="5" t="str">
        <v>00</v>
      </c>
      <c r="X8" s="5" t="str">
        <v>39</v>
      </c>
      <c r="Y8" s="8" t="str">
        <v>23</v>
      </c>
      <c r="Z8" s="5" t="str">
        <v>80</v>
      </c>
      <c r="AA8" s="5" t="str">
        <v>af</v>
      </c>
      <c r="AB8" s="5" t="str">
        <v>0d</v>
      </c>
      <c r="AC8" s="5" t="str">
        <v>00</v>
      </c>
      <c r="AD8" s="5" t="str">
        <v>0e</v>
      </c>
      <c r="AE8" s="5" t="str">
        <v>e0</v>
      </c>
      <c r="AF8" s="5" t="str">
        <v>00</v>
      </c>
      <c r="AG8" s="5" t="str">
        <v>00</v>
      </c>
      <c r="AH8" s="5" t="str">
        <v>89</v>
      </c>
      <c r="AI8" s="5" t="str">
        <v>00</v>
      </c>
      <c r="AJ8" s="5" t="str">
        <v>00</v>
      </c>
      <c r="AK8" s="5" t="str">
        <v>15</v>
      </c>
    </row>
    <row r="9" spans="1:37" ht="22" customHeight="1" x14ac:dyDescent="0.3">
      <c r="A9" s="2" t="s">
        <v>2</v>
      </c>
      <c r="B9" s="2" t="s">
        <v>3</v>
      </c>
      <c r="C9" s="2">
        <v>18</v>
      </c>
      <c r="D9" s="2" t="s">
        <v>3</v>
      </c>
      <c r="E9" s="2" t="s">
        <v>3</v>
      </c>
      <c r="F9" s="6" t="s">
        <v>255</v>
      </c>
      <c r="G9" s="5" t="s">
        <v>259</v>
      </c>
      <c r="H9" s="2" t="str" cm="1">
        <f t="array" ref="H9">_xlfn.LET(
  _xlpm.parts, _xlfn.TEXTSPLIT(G9, " "),
  _xlpm.count, COUNTA(_xlpm.parts),
  _xlpm.sum, SUM(--HEX2DEC(INDEX(_xlpm.parts, _xlfn.SEQUENCE(_xlpm.count - 1)))),
  "Dec: " &amp; _xlpm.sum &amp; " | Hex: " &amp; DEC2HEX(_xlpm.sum)
)</f>
        <v>Dec: 1314 | Hex: 522</v>
      </c>
      <c r="I9" s="2" t="str">
        <f t="shared" si="1"/>
        <v>16</v>
      </c>
      <c r="J9" s="2" t="b">
        <f t="shared" si="2"/>
        <v>1</v>
      </c>
      <c r="K9" s="5" t="str" cm="1">
        <f t="array" ref="K9:AK9">_xlfn.TEXTSPLIT(G9, " ")</f>
        <v>02</v>
      </c>
      <c r="L9" s="5" t="str">
        <v>20</v>
      </c>
      <c r="M9" s="5" t="str">
        <v>e0</v>
      </c>
      <c r="N9" s="5" t="str">
        <v>04</v>
      </c>
      <c r="O9" s="5" t="str">
        <v>00</v>
      </c>
      <c r="P9" s="5" t="str">
        <v>00</v>
      </c>
      <c r="Q9" s="5" t="str">
        <v>00</v>
      </c>
      <c r="R9" s="5" t="str">
        <v>06</v>
      </c>
      <c r="S9" s="5" t="str">
        <v>02</v>
      </c>
      <c r="T9" s="5" t="str">
        <v>20</v>
      </c>
      <c r="U9" s="5" t="str">
        <v>e0</v>
      </c>
      <c r="V9" s="5" t="str">
        <v>04</v>
      </c>
      <c r="W9" s="5" t="str">
        <v>00</v>
      </c>
      <c r="X9" s="5" t="str">
        <v>39</v>
      </c>
      <c r="Y9" s="8" t="str">
        <v>24</v>
      </c>
      <c r="Z9" s="5" t="str">
        <v>80</v>
      </c>
      <c r="AA9" s="5" t="str">
        <v>af</v>
      </c>
      <c r="AB9" s="5" t="str">
        <v>0d</v>
      </c>
      <c r="AC9" s="5" t="str">
        <v>00</v>
      </c>
      <c r="AD9" s="5" t="str">
        <v>0e</v>
      </c>
      <c r="AE9" s="5" t="str">
        <v>e0</v>
      </c>
      <c r="AF9" s="5" t="str">
        <v>00</v>
      </c>
      <c r="AG9" s="5" t="str">
        <v>00</v>
      </c>
      <c r="AH9" s="5" t="str">
        <v>89</v>
      </c>
      <c r="AI9" s="5" t="str">
        <v>00</v>
      </c>
      <c r="AJ9" s="5" t="str">
        <v>00</v>
      </c>
      <c r="AK9" s="5" t="str">
        <v>16</v>
      </c>
    </row>
    <row r="10" spans="1:37" ht="22" customHeight="1" x14ac:dyDescent="0.3">
      <c r="A10" s="2" t="s">
        <v>2</v>
      </c>
      <c r="B10" s="2" t="s">
        <v>3</v>
      </c>
      <c r="C10" s="2">
        <v>18.5</v>
      </c>
      <c r="D10" s="2" t="s">
        <v>3</v>
      </c>
      <c r="E10" s="2" t="s">
        <v>3</v>
      </c>
      <c r="F10" s="6" t="s">
        <v>256</v>
      </c>
      <c r="G10" s="5" t="s">
        <v>260</v>
      </c>
      <c r="H10" s="2" t="str" cm="1">
        <f t="array" ref="H10">_xlfn.LET(
  _xlpm.parts, _xlfn.TEXTSPLIT(G10, " "),
  _xlpm.count, COUNTA(_xlpm.parts),
  _xlpm.sum, SUM(--HEX2DEC(INDEX(_xlpm.parts, _xlfn.SEQUENCE(_xlpm.count - 1)))),
  "Dec: " &amp; _xlpm.sum &amp; " | Hex: " &amp; DEC2HEX(_xlpm.sum)
)</f>
        <v>Dec: 1315 | Hex: 523</v>
      </c>
      <c r="I10" s="2" t="str">
        <f t="shared" si="1"/>
        <v>17</v>
      </c>
      <c r="J10" s="2" t="b">
        <f t="shared" si="2"/>
        <v>1</v>
      </c>
      <c r="K10" s="5" t="str" cm="1">
        <f t="array" ref="K10:AK10">_xlfn.TEXTSPLIT(G10, " ")</f>
        <v>02</v>
      </c>
      <c r="L10" s="5" t="str">
        <v>20</v>
      </c>
      <c r="M10" s="5" t="str">
        <v>e0</v>
      </c>
      <c r="N10" s="5" t="str">
        <v>04</v>
      </c>
      <c r="O10" s="5" t="str">
        <v>00</v>
      </c>
      <c r="P10" s="5" t="str">
        <v>00</v>
      </c>
      <c r="Q10" s="5" t="str">
        <v>00</v>
      </c>
      <c r="R10" s="5" t="str">
        <v>06</v>
      </c>
      <c r="S10" s="5" t="str">
        <v>02</v>
      </c>
      <c r="T10" s="5" t="str">
        <v>20</v>
      </c>
      <c r="U10" s="5" t="str">
        <v>e0</v>
      </c>
      <c r="V10" s="5" t="str">
        <v>04</v>
      </c>
      <c r="W10" s="5" t="str">
        <v>00</v>
      </c>
      <c r="X10" s="5" t="str">
        <v>39</v>
      </c>
      <c r="Y10" s="8" t="str">
        <v>25</v>
      </c>
      <c r="Z10" s="5" t="str">
        <v>80</v>
      </c>
      <c r="AA10" s="5" t="str">
        <v>af</v>
      </c>
      <c r="AB10" s="5" t="str">
        <v>0d</v>
      </c>
      <c r="AC10" s="5" t="str">
        <v>00</v>
      </c>
      <c r="AD10" s="5" t="str">
        <v>0e</v>
      </c>
      <c r="AE10" s="5" t="str">
        <v>e0</v>
      </c>
      <c r="AF10" s="5" t="str">
        <v>00</v>
      </c>
      <c r="AG10" s="5" t="str">
        <v>00</v>
      </c>
      <c r="AH10" s="5" t="str">
        <v>89</v>
      </c>
      <c r="AI10" s="5" t="str">
        <v>00</v>
      </c>
      <c r="AJ10" s="5" t="str">
        <v>00</v>
      </c>
      <c r="AK10" s="5" t="str">
        <v>17</v>
      </c>
    </row>
    <row r="11" spans="1:37" ht="22" customHeight="1" x14ac:dyDescent="0.3">
      <c r="A11" s="2" t="s">
        <v>2</v>
      </c>
      <c r="B11" s="2" t="s">
        <v>3</v>
      </c>
      <c r="C11" s="2">
        <v>19</v>
      </c>
      <c r="D11" s="2" t="s">
        <v>3</v>
      </c>
      <c r="E11" s="2" t="s">
        <v>3</v>
      </c>
      <c r="F11" s="6" t="s">
        <v>261</v>
      </c>
      <c r="G11" s="5" t="s">
        <v>262</v>
      </c>
      <c r="H11" s="2" t="str" cm="1">
        <f t="array" ref="H11">_xlfn.LET(
  _xlpm.parts, _xlfn.TEXTSPLIT(G11, " "),
  _xlpm.count, COUNTA(_xlpm.parts),
  _xlpm.sum, SUM(--HEX2DEC(INDEX(_xlpm.parts, _xlfn.SEQUENCE(_xlpm.count - 1)))),
  "Dec: " &amp; _xlpm.sum &amp; " | Hex: " &amp; DEC2HEX(_xlpm.sum)
)</f>
        <v>Dec: 1316 | Hex: 524</v>
      </c>
      <c r="I11" s="2" t="str">
        <f t="shared" si="1"/>
        <v>18</v>
      </c>
      <c r="J11" s="2" t="b">
        <f t="shared" si="2"/>
        <v>1</v>
      </c>
      <c r="K11" s="5" t="str" cm="1">
        <f t="array" ref="K11:AK11">_xlfn.TEXTSPLIT(G11, " ")</f>
        <v>02</v>
      </c>
      <c r="L11" s="5" t="str">
        <v>20</v>
      </c>
      <c r="M11" s="5" t="str">
        <v>e0</v>
      </c>
      <c r="N11" s="5" t="str">
        <v>04</v>
      </c>
      <c r="O11" s="5" t="str">
        <v>00</v>
      </c>
      <c r="P11" s="5" t="str">
        <v>00</v>
      </c>
      <c r="Q11" s="5" t="str">
        <v>00</v>
      </c>
      <c r="R11" s="5" t="str">
        <v>06</v>
      </c>
      <c r="S11" s="5" t="str">
        <v>02</v>
      </c>
      <c r="T11" s="5" t="str">
        <v>20</v>
      </c>
      <c r="U11" s="5" t="str">
        <v>e0</v>
      </c>
      <c r="V11" s="5" t="str">
        <v>04</v>
      </c>
      <c r="W11" s="5" t="str">
        <v>00</v>
      </c>
      <c r="X11" s="5" t="str">
        <v>39</v>
      </c>
      <c r="Y11" s="8" t="str">
        <v>26</v>
      </c>
      <c r="Z11" s="5" t="str">
        <v>80</v>
      </c>
      <c r="AA11" s="5" t="str">
        <v>af</v>
      </c>
      <c r="AB11" s="5" t="str">
        <v>0d</v>
      </c>
      <c r="AC11" s="5" t="str">
        <v>00</v>
      </c>
      <c r="AD11" s="5" t="str">
        <v>0e</v>
      </c>
      <c r="AE11" s="5" t="str">
        <v>e0</v>
      </c>
      <c r="AF11" s="5" t="str">
        <v>00</v>
      </c>
      <c r="AG11" s="5" t="str">
        <v>00</v>
      </c>
      <c r="AH11" s="5" t="str">
        <v>89</v>
      </c>
      <c r="AI11" s="5" t="str">
        <v>00</v>
      </c>
      <c r="AJ11" s="5" t="str">
        <v>00</v>
      </c>
      <c r="AK11" s="5" t="str">
        <v>18</v>
      </c>
    </row>
    <row r="12" spans="1:37" ht="22" customHeight="1" x14ac:dyDescent="0.3">
      <c r="A12" s="2" t="s">
        <v>2</v>
      </c>
      <c r="B12" s="2" t="s">
        <v>3</v>
      </c>
      <c r="C12" s="2">
        <v>19.5</v>
      </c>
      <c r="D12" s="2" t="s">
        <v>3</v>
      </c>
      <c r="E12" s="2" t="s">
        <v>3</v>
      </c>
      <c r="F12" s="6" t="s">
        <v>263</v>
      </c>
      <c r="G12" s="5" t="s">
        <v>264</v>
      </c>
      <c r="H12" s="2" t="str" cm="1">
        <f t="array" ref="H12">_xlfn.LET(
  _xlpm.parts, _xlfn.TEXTSPLIT(G12, " "),
  _xlpm.count, COUNTA(_xlpm.parts),
  _xlpm.sum, SUM(--HEX2DEC(INDEX(_xlpm.parts, _xlfn.SEQUENCE(_xlpm.count - 1)))),
  "Dec: " &amp; _xlpm.sum &amp; " | Hex: " &amp; DEC2HEX(_xlpm.sum)
)</f>
        <v>Dec: 1317 | Hex: 525</v>
      </c>
      <c r="I12" s="2" t="str">
        <f t="shared" si="1"/>
        <v>19</v>
      </c>
      <c r="J12" s="2" t="b">
        <f t="shared" si="2"/>
        <v>1</v>
      </c>
      <c r="K12" s="5" t="str" cm="1">
        <f t="array" ref="K12:AK12">_xlfn.TEXTSPLIT(G12, " ")</f>
        <v>02</v>
      </c>
      <c r="L12" s="5" t="str">
        <v>20</v>
      </c>
      <c r="M12" s="5" t="str">
        <v>e0</v>
      </c>
      <c r="N12" s="5" t="str">
        <v>04</v>
      </c>
      <c r="O12" s="5" t="str">
        <v>00</v>
      </c>
      <c r="P12" s="5" t="str">
        <v>00</v>
      </c>
      <c r="Q12" s="5" t="str">
        <v>00</v>
      </c>
      <c r="R12" s="5" t="str">
        <v>06</v>
      </c>
      <c r="S12" s="5" t="str">
        <v>02</v>
      </c>
      <c r="T12" s="5" t="str">
        <v>20</v>
      </c>
      <c r="U12" s="5" t="str">
        <v>e0</v>
      </c>
      <c r="V12" s="5" t="str">
        <v>04</v>
      </c>
      <c r="W12" s="5" t="str">
        <v>00</v>
      </c>
      <c r="X12" s="5" t="str">
        <v>39</v>
      </c>
      <c r="Y12" s="8" t="str">
        <v>27</v>
      </c>
      <c r="Z12" s="5" t="str">
        <v>80</v>
      </c>
      <c r="AA12" s="5" t="str">
        <v>af</v>
      </c>
      <c r="AB12" s="5" t="str">
        <v>0d</v>
      </c>
      <c r="AC12" s="5" t="str">
        <v>00</v>
      </c>
      <c r="AD12" s="5" t="str">
        <v>0e</v>
      </c>
      <c r="AE12" s="5" t="str">
        <v>e0</v>
      </c>
      <c r="AF12" s="5" t="str">
        <v>00</v>
      </c>
      <c r="AG12" s="5" t="str">
        <v>00</v>
      </c>
      <c r="AH12" s="5" t="str">
        <v>89</v>
      </c>
      <c r="AI12" s="5" t="str">
        <v>00</v>
      </c>
      <c r="AJ12" s="5" t="str">
        <v>00</v>
      </c>
      <c r="AK12" s="5" t="str">
        <v>19</v>
      </c>
    </row>
    <row r="13" spans="1:37" ht="22" customHeight="1" x14ac:dyDescent="0.3">
      <c r="A13" s="2" t="s">
        <v>2</v>
      </c>
      <c r="B13" s="2" t="s">
        <v>3</v>
      </c>
      <c r="C13" s="2">
        <v>20</v>
      </c>
      <c r="D13" s="2" t="s">
        <v>3</v>
      </c>
      <c r="E13" s="2" t="s">
        <v>3</v>
      </c>
      <c r="F13" s="6" t="s">
        <v>265</v>
      </c>
      <c r="G13" s="5" t="s">
        <v>266</v>
      </c>
      <c r="H13" s="2" t="str" cm="1">
        <f t="array" ref="H13">_xlfn.LET(
  _xlpm.parts, _xlfn.TEXTSPLIT(G13, " "),
  _xlpm.count, COUNTA(_xlpm.parts),
  _xlpm.sum, SUM(--HEX2DEC(INDEX(_xlpm.parts, _xlfn.SEQUENCE(_xlpm.count - 1)))),
  "Dec: " &amp; _xlpm.sum &amp; " | Hex: " &amp; DEC2HEX(_xlpm.sum)
)</f>
        <v>Dec: 1318 | Hex: 526</v>
      </c>
      <c r="I13" s="2" t="str">
        <f t="shared" si="1"/>
        <v>1A</v>
      </c>
      <c r="J13" s="2" t="b">
        <f t="shared" si="2"/>
        <v>1</v>
      </c>
      <c r="K13" s="5" t="str" cm="1">
        <f t="array" ref="K13:AK13">_xlfn.TEXTSPLIT(G13, " ")</f>
        <v>02</v>
      </c>
      <c r="L13" s="5" t="str">
        <v>20</v>
      </c>
      <c r="M13" s="5" t="str">
        <v>e0</v>
      </c>
      <c r="N13" s="5" t="str">
        <v>04</v>
      </c>
      <c r="O13" s="5" t="str">
        <v>00</v>
      </c>
      <c r="P13" s="5" t="str">
        <v>00</v>
      </c>
      <c r="Q13" s="5" t="str">
        <v>00</v>
      </c>
      <c r="R13" s="5" t="str">
        <v>06</v>
      </c>
      <c r="S13" s="5" t="str">
        <v>02</v>
      </c>
      <c r="T13" s="5" t="str">
        <v>20</v>
      </c>
      <c r="U13" s="5" t="str">
        <v>e0</v>
      </c>
      <c r="V13" s="5" t="str">
        <v>04</v>
      </c>
      <c r="W13" s="5" t="str">
        <v>00</v>
      </c>
      <c r="X13" s="5" t="str">
        <v>39</v>
      </c>
      <c r="Y13" s="8" t="str">
        <v>28</v>
      </c>
      <c r="Z13" s="5" t="str">
        <v>80</v>
      </c>
      <c r="AA13" s="5" t="str">
        <v>af</v>
      </c>
      <c r="AB13" s="5" t="str">
        <v>0d</v>
      </c>
      <c r="AC13" s="5" t="str">
        <v>00</v>
      </c>
      <c r="AD13" s="5" t="str">
        <v>0e</v>
      </c>
      <c r="AE13" s="5" t="str">
        <v>e0</v>
      </c>
      <c r="AF13" s="5" t="str">
        <v>00</v>
      </c>
      <c r="AG13" s="5" t="str">
        <v>00</v>
      </c>
      <c r="AH13" s="5" t="str">
        <v>89</v>
      </c>
      <c r="AI13" s="5" t="str">
        <v>00</v>
      </c>
      <c r="AJ13" s="5" t="str">
        <v>00</v>
      </c>
      <c r="AK13" s="5" t="str">
        <v>1a</v>
      </c>
    </row>
    <row r="14" spans="1:37" ht="22" customHeight="1" x14ac:dyDescent="0.3">
      <c r="A14" s="2" t="s">
        <v>2</v>
      </c>
      <c r="B14" s="2" t="s">
        <v>3</v>
      </c>
      <c r="C14" s="2">
        <v>20.5</v>
      </c>
      <c r="D14" s="2" t="s">
        <v>3</v>
      </c>
      <c r="E14" s="2" t="s">
        <v>3</v>
      </c>
      <c r="F14" s="6" t="s">
        <v>267</v>
      </c>
      <c r="G14" s="5" t="s">
        <v>268</v>
      </c>
      <c r="H14" s="2" t="str" cm="1">
        <f t="array" ref="H14">_xlfn.LET(
  _xlpm.parts, _xlfn.TEXTSPLIT(G14, " "),
  _xlpm.count, COUNTA(_xlpm.parts),
  _xlpm.sum, SUM(--HEX2DEC(INDEX(_xlpm.parts, _xlfn.SEQUENCE(_xlpm.count - 1)))),
  "Dec: " &amp; _xlpm.sum &amp; " | Hex: " &amp; DEC2HEX(_xlpm.sum)
)</f>
        <v>Dec: 1319 | Hex: 527</v>
      </c>
      <c r="I14" s="2" t="str">
        <f t="shared" si="1"/>
        <v>1B</v>
      </c>
      <c r="J14" s="2" t="b">
        <f t="shared" si="2"/>
        <v>1</v>
      </c>
      <c r="K14" s="5" t="str" cm="1">
        <f t="array" ref="K14:AK14">_xlfn.TEXTSPLIT(G14, " ")</f>
        <v>02</v>
      </c>
      <c r="L14" s="5" t="str">
        <v>20</v>
      </c>
      <c r="M14" s="5" t="str">
        <v>e0</v>
      </c>
      <c r="N14" s="5" t="str">
        <v>04</v>
      </c>
      <c r="O14" s="5" t="str">
        <v>00</v>
      </c>
      <c r="P14" s="5" t="str">
        <v>00</v>
      </c>
      <c r="Q14" s="5" t="str">
        <v>00</v>
      </c>
      <c r="R14" s="5" t="str">
        <v>06</v>
      </c>
      <c r="S14" s="5" t="str">
        <v>02</v>
      </c>
      <c r="T14" s="5" t="str">
        <v>20</v>
      </c>
      <c r="U14" s="5" t="str">
        <v>e0</v>
      </c>
      <c r="V14" s="5" t="str">
        <v>04</v>
      </c>
      <c r="W14" s="5" t="str">
        <v>00</v>
      </c>
      <c r="X14" s="5" t="str">
        <v>39</v>
      </c>
      <c r="Y14" s="8" t="str">
        <v>29</v>
      </c>
      <c r="Z14" s="5" t="str">
        <v>80</v>
      </c>
      <c r="AA14" s="5" t="str">
        <v>af</v>
      </c>
      <c r="AB14" s="5" t="str">
        <v>0d</v>
      </c>
      <c r="AC14" s="5" t="str">
        <v>00</v>
      </c>
      <c r="AD14" s="5" t="str">
        <v>0e</v>
      </c>
      <c r="AE14" s="5" t="str">
        <v>e0</v>
      </c>
      <c r="AF14" s="5" t="str">
        <v>00</v>
      </c>
      <c r="AG14" s="5" t="str">
        <v>00</v>
      </c>
      <c r="AH14" s="5" t="str">
        <v>89</v>
      </c>
      <c r="AI14" s="5" t="str">
        <v>00</v>
      </c>
      <c r="AJ14" s="5" t="str">
        <v>00</v>
      </c>
      <c r="AK14" s="5" t="str">
        <v>1b</v>
      </c>
    </row>
    <row r="15" spans="1:37" ht="22" customHeight="1" x14ac:dyDescent="0.3">
      <c r="A15" s="2" t="s">
        <v>2</v>
      </c>
      <c r="B15" s="2" t="s">
        <v>3</v>
      </c>
      <c r="C15" s="2">
        <v>21</v>
      </c>
      <c r="D15" s="2" t="s">
        <v>3</v>
      </c>
      <c r="E15" s="2" t="s">
        <v>3</v>
      </c>
      <c r="F15" s="6" t="s">
        <v>269</v>
      </c>
      <c r="G15" s="5" t="s">
        <v>270</v>
      </c>
      <c r="H15" s="2" t="str" cm="1">
        <f t="array" ref="H15">_xlfn.LET(
  _xlpm.parts, _xlfn.TEXTSPLIT(G15, " "),
  _xlpm.count, COUNTA(_xlpm.parts),
  _xlpm.sum, SUM(--HEX2DEC(INDEX(_xlpm.parts, _xlfn.SEQUENCE(_xlpm.count - 1)))),
  "Dec: " &amp; _xlpm.sum &amp; " | Hex: " &amp; DEC2HEX(_xlpm.sum)
)</f>
        <v>Dec: 1320 | Hex: 528</v>
      </c>
      <c r="I15" s="2" t="str">
        <f t="shared" si="1"/>
        <v>1C</v>
      </c>
      <c r="J15" s="2" t="b">
        <f t="shared" si="2"/>
        <v>1</v>
      </c>
      <c r="K15" s="5" t="str" cm="1">
        <f t="array" ref="K15:AK15">_xlfn.TEXTSPLIT(G15, " ")</f>
        <v>02</v>
      </c>
      <c r="L15" s="5" t="str">
        <v>20</v>
      </c>
      <c r="M15" s="5" t="str">
        <v>e0</v>
      </c>
      <c r="N15" s="5" t="str">
        <v>04</v>
      </c>
      <c r="O15" s="5" t="str">
        <v>00</v>
      </c>
      <c r="P15" s="5" t="str">
        <v>00</v>
      </c>
      <c r="Q15" s="5" t="str">
        <v>00</v>
      </c>
      <c r="R15" s="5" t="str">
        <v>06</v>
      </c>
      <c r="S15" s="5" t="str">
        <v>02</v>
      </c>
      <c r="T15" s="5" t="str">
        <v>20</v>
      </c>
      <c r="U15" s="5" t="str">
        <v>e0</v>
      </c>
      <c r="V15" s="5" t="str">
        <v>04</v>
      </c>
      <c r="W15" s="5" t="str">
        <v>00</v>
      </c>
      <c r="X15" s="5" t="str">
        <v>39</v>
      </c>
      <c r="Y15" s="8" t="str">
        <v>2a</v>
      </c>
      <c r="Z15" s="5" t="str">
        <v>80</v>
      </c>
      <c r="AA15" s="5" t="str">
        <v>af</v>
      </c>
      <c r="AB15" s="5" t="str">
        <v>0d</v>
      </c>
      <c r="AC15" s="5" t="str">
        <v>00</v>
      </c>
      <c r="AD15" s="5" t="str">
        <v>0e</v>
      </c>
      <c r="AE15" s="5" t="str">
        <v>e0</v>
      </c>
      <c r="AF15" s="5" t="str">
        <v>00</v>
      </c>
      <c r="AG15" s="5" t="str">
        <v>00</v>
      </c>
      <c r="AH15" s="5" t="str">
        <v>89</v>
      </c>
      <c r="AI15" s="5" t="str">
        <v>00</v>
      </c>
      <c r="AJ15" s="5" t="str">
        <v>00</v>
      </c>
      <c r="AK15" s="5" t="str">
        <v>1c</v>
      </c>
    </row>
    <row r="16" spans="1:37" ht="22" customHeight="1" x14ac:dyDescent="0.3">
      <c r="A16" s="2" t="s">
        <v>2</v>
      </c>
      <c r="B16" s="2" t="s">
        <v>3</v>
      </c>
      <c r="C16" s="2">
        <v>21.5</v>
      </c>
      <c r="D16" s="2" t="s">
        <v>3</v>
      </c>
      <c r="E16" s="2" t="s">
        <v>3</v>
      </c>
      <c r="F16" s="6" t="s">
        <v>271</v>
      </c>
      <c r="G16" s="5" t="s">
        <v>272</v>
      </c>
      <c r="H16" s="2" t="str" cm="1">
        <f t="array" ref="H16">_xlfn.LET(
  _xlpm.parts, _xlfn.TEXTSPLIT(G16, " "),
  _xlpm.count, COUNTA(_xlpm.parts),
  _xlpm.sum, SUM(--HEX2DEC(INDEX(_xlpm.parts, _xlfn.SEQUENCE(_xlpm.count - 1)))),
  "Dec: " &amp; _xlpm.sum &amp; " | Hex: " &amp; DEC2HEX(_xlpm.sum)
)</f>
        <v>Dec: 1321 | Hex: 529</v>
      </c>
      <c r="I16" s="2" t="str">
        <f t="shared" si="1"/>
        <v>1D</v>
      </c>
      <c r="J16" s="2" t="b">
        <f t="shared" si="2"/>
        <v>1</v>
      </c>
      <c r="K16" s="5" t="str" cm="1">
        <f t="array" ref="K16:AK16">_xlfn.TEXTSPLIT(G16, " ")</f>
        <v>02</v>
      </c>
      <c r="L16" s="5" t="str">
        <v>20</v>
      </c>
      <c r="M16" s="5" t="str">
        <v>e0</v>
      </c>
      <c r="N16" s="5" t="str">
        <v>04</v>
      </c>
      <c r="O16" s="5" t="str">
        <v>00</v>
      </c>
      <c r="P16" s="5" t="str">
        <v>00</v>
      </c>
      <c r="Q16" s="5" t="str">
        <v>00</v>
      </c>
      <c r="R16" s="5" t="str">
        <v>06</v>
      </c>
      <c r="S16" s="5" t="str">
        <v>02</v>
      </c>
      <c r="T16" s="5" t="str">
        <v>20</v>
      </c>
      <c r="U16" s="5" t="str">
        <v>e0</v>
      </c>
      <c r="V16" s="5" t="str">
        <v>04</v>
      </c>
      <c r="W16" s="5" t="str">
        <v>00</v>
      </c>
      <c r="X16" s="5" t="str">
        <v>39</v>
      </c>
      <c r="Y16" s="8" t="str">
        <v>2b</v>
      </c>
      <c r="Z16" s="5" t="str">
        <v>80</v>
      </c>
      <c r="AA16" s="5" t="str">
        <v>af</v>
      </c>
      <c r="AB16" s="5" t="str">
        <v>0d</v>
      </c>
      <c r="AC16" s="5" t="str">
        <v>00</v>
      </c>
      <c r="AD16" s="5" t="str">
        <v>0e</v>
      </c>
      <c r="AE16" s="5" t="str">
        <v>e0</v>
      </c>
      <c r="AF16" s="5" t="str">
        <v>00</v>
      </c>
      <c r="AG16" s="5" t="str">
        <v>00</v>
      </c>
      <c r="AH16" s="5" t="str">
        <v>89</v>
      </c>
      <c r="AI16" s="5" t="str">
        <v>00</v>
      </c>
      <c r="AJ16" s="5" t="str">
        <v>00</v>
      </c>
      <c r="AK16" s="5" t="str">
        <v>1d</v>
      </c>
    </row>
    <row r="17" spans="1:37" ht="22" customHeight="1" x14ac:dyDescent="0.3">
      <c r="A17" s="2" t="s">
        <v>2</v>
      </c>
      <c r="B17" s="2" t="s">
        <v>3</v>
      </c>
      <c r="C17" s="2">
        <v>22</v>
      </c>
      <c r="D17" s="2" t="s">
        <v>3</v>
      </c>
      <c r="E17" s="2" t="s">
        <v>3</v>
      </c>
      <c r="F17" s="6" t="s">
        <v>273</v>
      </c>
      <c r="G17" s="5" t="s">
        <v>274</v>
      </c>
      <c r="H17" s="2" t="str" cm="1">
        <f t="array" ref="H17">_xlfn.LET(
  _xlpm.parts, _xlfn.TEXTSPLIT(G17, " "),
  _xlpm.count, COUNTA(_xlpm.parts),
  _xlpm.sum, SUM(--HEX2DEC(INDEX(_xlpm.parts, _xlfn.SEQUENCE(_xlpm.count - 1)))),
  "Dec: " &amp; _xlpm.sum &amp; " | Hex: " &amp; DEC2HEX(_xlpm.sum)
)</f>
        <v>Dec: 1322 | Hex: 52A</v>
      </c>
      <c r="I17" s="2" t="str">
        <f t="shared" si="1"/>
        <v>1E</v>
      </c>
      <c r="J17" s="2" t="b">
        <f t="shared" si="2"/>
        <v>1</v>
      </c>
      <c r="K17" s="5" t="str" cm="1">
        <f t="array" ref="K17:AK17">_xlfn.TEXTSPLIT(G17, " ")</f>
        <v>02</v>
      </c>
      <c r="L17" s="5" t="str">
        <v>20</v>
      </c>
      <c r="M17" s="5" t="str">
        <v>e0</v>
      </c>
      <c r="N17" s="5" t="str">
        <v>04</v>
      </c>
      <c r="O17" s="5" t="str">
        <v>00</v>
      </c>
      <c r="P17" s="5" t="str">
        <v>00</v>
      </c>
      <c r="Q17" s="5" t="str">
        <v>00</v>
      </c>
      <c r="R17" s="5" t="str">
        <v>06</v>
      </c>
      <c r="S17" s="5" t="str">
        <v>02</v>
      </c>
      <c r="T17" s="5" t="str">
        <v>20</v>
      </c>
      <c r="U17" s="5" t="str">
        <v>e0</v>
      </c>
      <c r="V17" s="5" t="str">
        <v>04</v>
      </c>
      <c r="W17" s="5" t="str">
        <v>00</v>
      </c>
      <c r="X17" s="5" t="str">
        <v>39</v>
      </c>
      <c r="Y17" s="8" t="str">
        <v>2c</v>
      </c>
      <c r="Z17" s="5" t="str">
        <v>80</v>
      </c>
      <c r="AA17" s="5" t="str">
        <v>af</v>
      </c>
      <c r="AB17" s="5" t="str">
        <v>0d</v>
      </c>
      <c r="AC17" s="5" t="str">
        <v>00</v>
      </c>
      <c r="AD17" s="5" t="str">
        <v>0e</v>
      </c>
      <c r="AE17" s="5" t="str">
        <v>e0</v>
      </c>
      <c r="AF17" s="5" t="str">
        <v>00</v>
      </c>
      <c r="AG17" s="5" t="str">
        <v>00</v>
      </c>
      <c r="AH17" s="5" t="str">
        <v>89</v>
      </c>
      <c r="AI17" s="5" t="str">
        <v>00</v>
      </c>
      <c r="AJ17" s="5" t="str">
        <v>00</v>
      </c>
      <c r="AK17" s="5" t="str">
        <v>1e</v>
      </c>
    </row>
    <row r="18" spans="1:37" ht="22" customHeight="1" x14ac:dyDescent="0.3">
      <c r="A18" s="2" t="s">
        <v>2</v>
      </c>
      <c r="B18" s="2" t="s">
        <v>3</v>
      </c>
      <c r="C18" s="2">
        <v>22.5</v>
      </c>
      <c r="D18" s="2" t="s">
        <v>3</v>
      </c>
      <c r="E18" s="2" t="s">
        <v>3</v>
      </c>
      <c r="F18" s="6" t="s">
        <v>275</v>
      </c>
      <c r="G18" s="5" t="s">
        <v>276</v>
      </c>
      <c r="H18" s="2" t="str" cm="1">
        <f t="array" ref="H18">_xlfn.LET(
  _xlpm.parts, _xlfn.TEXTSPLIT(G18, " "),
  _xlpm.count, COUNTA(_xlpm.parts),
  _xlpm.sum, SUM(--HEX2DEC(INDEX(_xlpm.parts, _xlfn.SEQUENCE(_xlpm.count - 1)))),
  "Dec: " &amp; _xlpm.sum &amp; " | Hex: " &amp; DEC2HEX(_xlpm.sum)
)</f>
        <v>Dec: 1323 | Hex: 52B</v>
      </c>
      <c r="I18" s="2" t="str">
        <f t="shared" si="1"/>
        <v>1F</v>
      </c>
      <c r="J18" s="2" t="b">
        <f t="shared" si="2"/>
        <v>1</v>
      </c>
      <c r="K18" s="5" t="str" cm="1">
        <f t="array" ref="K18:AK18">_xlfn.TEXTSPLIT(G18, " ")</f>
        <v>02</v>
      </c>
      <c r="L18" s="5" t="str">
        <v>20</v>
      </c>
      <c r="M18" s="5" t="str">
        <v>e0</v>
      </c>
      <c r="N18" s="5" t="str">
        <v>04</v>
      </c>
      <c r="O18" s="5" t="str">
        <v>00</v>
      </c>
      <c r="P18" s="5" t="str">
        <v>00</v>
      </c>
      <c r="Q18" s="5" t="str">
        <v>00</v>
      </c>
      <c r="R18" s="5" t="str">
        <v>06</v>
      </c>
      <c r="S18" s="5" t="str">
        <v>02</v>
      </c>
      <c r="T18" s="5" t="str">
        <v>20</v>
      </c>
      <c r="U18" s="5" t="str">
        <v>e0</v>
      </c>
      <c r="V18" s="5" t="str">
        <v>04</v>
      </c>
      <c r="W18" s="5" t="str">
        <v>00</v>
      </c>
      <c r="X18" s="5" t="str">
        <v>39</v>
      </c>
      <c r="Y18" s="8" t="str">
        <v>2d</v>
      </c>
      <c r="Z18" s="5" t="str">
        <v>80</v>
      </c>
      <c r="AA18" s="5" t="str">
        <v>af</v>
      </c>
      <c r="AB18" s="5" t="str">
        <v>0d</v>
      </c>
      <c r="AC18" s="5" t="str">
        <v>00</v>
      </c>
      <c r="AD18" s="5" t="str">
        <v>0e</v>
      </c>
      <c r="AE18" s="5" t="str">
        <v>e0</v>
      </c>
      <c r="AF18" s="5" t="str">
        <v>00</v>
      </c>
      <c r="AG18" s="5" t="str">
        <v>00</v>
      </c>
      <c r="AH18" s="5" t="str">
        <v>89</v>
      </c>
      <c r="AI18" s="5" t="str">
        <v>00</v>
      </c>
      <c r="AJ18" s="5" t="str">
        <v>00</v>
      </c>
      <c r="AK18" s="5" t="str">
        <v>1f</v>
      </c>
    </row>
    <row r="19" spans="1:37" ht="22" customHeight="1" x14ac:dyDescent="0.3">
      <c r="A19" s="2" t="s">
        <v>2</v>
      </c>
      <c r="B19" s="2" t="s">
        <v>3</v>
      </c>
      <c r="C19" s="2">
        <v>23</v>
      </c>
      <c r="D19" s="2" t="s">
        <v>3</v>
      </c>
      <c r="E19" s="2" t="s">
        <v>3</v>
      </c>
      <c r="F19" s="6" t="s">
        <v>278</v>
      </c>
      <c r="G19" s="5" t="s">
        <v>277</v>
      </c>
      <c r="H19" s="2" t="str" cm="1">
        <f t="array" ref="H19">_xlfn.LET(
  _xlpm.parts, _xlfn.TEXTSPLIT(G19, " "),
  _xlpm.count, COUNTA(_xlpm.parts),
  _xlpm.sum, SUM(--HEX2DEC(INDEX(_xlpm.parts, _xlfn.SEQUENCE(_xlpm.count - 1)))),
  "Dec: " &amp; _xlpm.sum &amp; " | Hex: " &amp; DEC2HEX(_xlpm.sum)
)</f>
        <v>Dec: 1324 | Hex: 52C</v>
      </c>
      <c r="I19" s="2" t="str">
        <f t="shared" si="1"/>
        <v>20</v>
      </c>
      <c r="J19" s="2" t="b">
        <f t="shared" si="2"/>
        <v>1</v>
      </c>
      <c r="K19" s="5" t="str" cm="1">
        <f t="array" ref="K19:AK19">_xlfn.TEXTSPLIT(G19, " ")</f>
        <v>02</v>
      </c>
      <c r="L19" s="5" t="str">
        <v>20</v>
      </c>
      <c r="M19" s="5" t="str">
        <v>e0</v>
      </c>
      <c r="N19" s="5" t="str">
        <v>04</v>
      </c>
      <c r="O19" s="5" t="str">
        <v>00</v>
      </c>
      <c r="P19" s="5" t="str">
        <v>00</v>
      </c>
      <c r="Q19" s="5" t="str">
        <v>00</v>
      </c>
      <c r="R19" s="5" t="str">
        <v>06</v>
      </c>
      <c r="S19" s="5" t="str">
        <v>02</v>
      </c>
      <c r="T19" s="5" t="str">
        <v>20</v>
      </c>
      <c r="U19" s="5" t="str">
        <v>e0</v>
      </c>
      <c r="V19" s="5" t="str">
        <v>04</v>
      </c>
      <c r="W19" s="5" t="str">
        <v>00</v>
      </c>
      <c r="X19" s="5" t="str">
        <v>39</v>
      </c>
      <c r="Y19" s="8" t="str">
        <v>2e</v>
      </c>
      <c r="Z19" s="5" t="str">
        <v>80</v>
      </c>
      <c r="AA19" s="5" t="str">
        <v>af</v>
      </c>
      <c r="AB19" s="5" t="str">
        <v>0d</v>
      </c>
      <c r="AC19" s="5" t="str">
        <v>00</v>
      </c>
      <c r="AD19" s="5" t="str">
        <v>0e</v>
      </c>
      <c r="AE19" s="5" t="str">
        <v>e0</v>
      </c>
      <c r="AF19" s="5" t="str">
        <v>00</v>
      </c>
      <c r="AG19" s="5" t="str">
        <v>00</v>
      </c>
      <c r="AH19" s="5" t="str">
        <v>89</v>
      </c>
      <c r="AI19" s="5" t="str">
        <v>00</v>
      </c>
      <c r="AJ19" s="5" t="str">
        <v>00</v>
      </c>
      <c r="AK19" s="5" t="str">
        <v>20</v>
      </c>
    </row>
    <row r="20" spans="1:37" ht="22" customHeight="1" x14ac:dyDescent="0.3">
      <c r="A20" s="2" t="s">
        <v>2</v>
      </c>
      <c r="B20" s="2" t="s">
        <v>3</v>
      </c>
      <c r="C20" s="2">
        <v>23.5</v>
      </c>
      <c r="D20" s="2" t="s">
        <v>3</v>
      </c>
      <c r="E20" s="2" t="s">
        <v>3</v>
      </c>
      <c r="F20" s="6" t="s">
        <v>279</v>
      </c>
      <c r="G20" s="5" t="s">
        <v>280</v>
      </c>
      <c r="H20" s="2" t="str" cm="1">
        <f t="array" ref="H20">_xlfn.LET(
  _xlpm.parts, _xlfn.TEXTSPLIT(G20, " "),
  _xlpm.count, COUNTA(_xlpm.parts),
  _xlpm.sum, SUM(--HEX2DEC(INDEX(_xlpm.parts, _xlfn.SEQUENCE(_xlpm.count - 1)))),
  "Dec: " &amp; _xlpm.sum &amp; " | Hex: " &amp; DEC2HEX(_xlpm.sum)
)</f>
        <v>Dec: 1325 | Hex: 52D</v>
      </c>
      <c r="I20" s="2" t="str">
        <f t="shared" si="1"/>
        <v>21</v>
      </c>
      <c r="J20" s="2" t="b">
        <f t="shared" si="2"/>
        <v>1</v>
      </c>
      <c r="K20" s="5" t="str" cm="1">
        <f t="array" ref="K20:AK20">_xlfn.TEXTSPLIT(G20, " ")</f>
        <v>02</v>
      </c>
      <c r="L20" s="5" t="str">
        <v>20</v>
      </c>
      <c r="M20" s="5" t="str">
        <v>e0</v>
      </c>
      <c r="N20" s="5" t="str">
        <v>04</v>
      </c>
      <c r="O20" s="5" t="str">
        <v>00</v>
      </c>
      <c r="P20" s="5" t="str">
        <v>00</v>
      </c>
      <c r="Q20" s="5" t="str">
        <v>00</v>
      </c>
      <c r="R20" s="5" t="str">
        <v>06</v>
      </c>
      <c r="S20" s="5" t="str">
        <v>02</v>
      </c>
      <c r="T20" s="5" t="str">
        <v>20</v>
      </c>
      <c r="U20" s="5" t="str">
        <v>e0</v>
      </c>
      <c r="V20" s="5" t="str">
        <v>04</v>
      </c>
      <c r="W20" s="5" t="str">
        <v>00</v>
      </c>
      <c r="X20" s="5" t="str">
        <v>39</v>
      </c>
      <c r="Y20" s="8" t="str">
        <v>2f</v>
      </c>
      <c r="Z20" s="5" t="str">
        <v>80</v>
      </c>
      <c r="AA20" s="5" t="str">
        <v>af</v>
      </c>
      <c r="AB20" s="5" t="str">
        <v>0d</v>
      </c>
      <c r="AC20" s="5" t="str">
        <v>00</v>
      </c>
      <c r="AD20" s="5" t="str">
        <v>0e</v>
      </c>
      <c r="AE20" s="5" t="str">
        <v>e0</v>
      </c>
      <c r="AF20" s="5" t="str">
        <v>00</v>
      </c>
      <c r="AG20" s="5" t="str">
        <v>00</v>
      </c>
      <c r="AH20" s="5" t="str">
        <v>89</v>
      </c>
      <c r="AI20" s="5" t="str">
        <v>00</v>
      </c>
      <c r="AJ20" s="5" t="str">
        <v>00</v>
      </c>
      <c r="AK20" s="5" t="str">
        <v>21</v>
      </c>
    </row>
    <row r="21" spans="1:37" ht="22" customHeight="1" x14ac:dyDescent="0.3">
      <c r="A21" s="2" t="s">
        <v>2</v>
      </c>
      <c r="B21" s="2" t="s">
        <v>3</v>
      </c>
      <c r="C21" s="2">
        <v>24</v>
      </c>
      <c r="D21" s="2" t="s">
        <v>3</v>
      </c>
      <c r="E21" s="2" t="s">
        <v>3</v>
      </c>
      <c r="F21" s="6" t="s">
        <v>282</v>
      </c>
      <c r="G21" s="5" t="s">
        <v>281</v>
      </c>
      <c r="H21" s="2" t="str" cm="1">
        <f t="array" ref="H21">_xlfn.LET(
  _xlpm.parts, _xlfn.TEXTSPLIT(G21, " "),
  _xlpm.count, COUNTA(_xlpm.parts),
  _xlpm.sum, SUM(--HEX2DEC(INDEX(_xlpm.parts, _xlfn.SEQUENCE(_xlpm.count - 1)))),
  "Dec: " &amp; _xlpm.sum &amp; " | Hex: " &amp; DEC2HEX(_xlpm.sum)
)</f>
        <v>Dec: 1326 | Hex: 52E</v>
      </c>
      <c r="I21" s="2" t="str">
        <f t="shared" si="1"/>
        <v>22</v>
      </c>
      <c r="J21" s="2" t="b">
        <f t="shared" si="2"/>
        <v>1</v>
      </c>
      <c r="K21" s="5" t="str" cm="1">
        <f t="array" ref="K21:AK21">_xlfn.TEXTSPLIT(G21, " ")</f>
        <v>02</v>
      </c>
      <c r="L21" s="5" t="str">
        <v>20</v>
      </c>
      <c r="M21" s="5" t="str">
        <v>e0</v>
      </c>
      <c r="N21" s="5" t="str">
        <v>04</v>
      </c>
      <c r="O21" s="5" t="str">
        <v>00</v>
      </c>
      <c r="P21" s="5" t="str">
        <v>00</v>
      </c>
      <c r="Q21" s="5" t="str">
        <v>00</v>
      </c>
      <c r="R21" s="5" t="str">
        <v>06</v>
      </c>
      <c r="S21" s="5" t="str">
        <v>02</v>
      </c>
      <c r="T21" s="5" t="str">
        <v>20</v>
      </c>
      <c r="U21" s="5" t="str">
        <v>e0</v>
      </c>
      <c r="V21" s="5" t="str">
        <v>04</v>
      </c>
      <c r="W21" s="5" t="str">
        <v>00</v>
      </c>
      <c r="X21" s="5" t="str">
        <v>39</v>
      </c>
      <c r="Y21" s="8" t="str">
        <v>30</v>
      </c>
      <c r="Z21" s="5" t="str">
        <v>80</v>
      </c>
      <c r="AA21" s="5" t="str">
        <v>af</v>
      </c>
      <c r="AB21" s="5" t="str">
        <v>0d</v>
      </c>
      <c r="AC21" s="5" t="str">
        <v>00</v>
      </c>
      <c r="AD21" s="5" t="str">
        <v>0e</v>
      </c>
      <c r="AE21" s="5" t="str">
        <v>e0</v>
      </c>
      <c r="AF21" s="5" t="str">
        <v>00</v>
      </c>
      <c r="AG21" s="5" t="str">
        <v>00</v>
      </c>
      <c r="AH21" s="5" t="str">
        <v>89</v>
      </c>
      <c r="AI21" s="5" t="str">
        <v>00</v>
      </c>
      <c r="AJ21" s="5" t="str">
        <v>00</v>
      </c>
      <c r="AK21" s="5" t="str">
        <v>22</v>
      </c>
    </row>
    <row r="22" spans="1:37" ht="22" customHeight="1" x14ac:dyDescent="0.3">
      <c r="A22" s="2" t="s">
        <v>2</v>
      </c>
      <c r="B22" s="2" t="s">
        <v>3</v>
      </c>
      <c r="C22" s="2">
        <v>24.5</v>
      </c>
      <c r="D22" s="2" t="s">
        <v>3</v>
      </c>
      <c r="E22" s="2" t="s">
        <v>3</v>
      </c>
      <c r="F22" s="6" t="s">
        <v>283</v>
      </c>
      <c r="G22" s="5" t="s">
        <v>284</v>
      </c>
      <c r="H22" s="2" t="str" cm="1">
        <f t="array" ref="H22">_xlfn.LET(
  _xlpm.parts, _xlfn.TEXTSPLIT(G22, " "),
  _xlpm.count, COUNTA(_xlpm.parts),
  _xlpm.sum, SUM(--HEX2DEC(INDEX(_xlpm.parts, _xlfn.SEQUENCE(_xlpm.count - 1)))),
  "Dec: " &amp; _xlpm.sum &amp; " | Hex: " &amp; DEC2HEX(_xlpm.sum)
)</f>
        <v>Dec: 1327 | Hex: 52F</v>
      </c>
      <c r="I22" s="2" t="str">
        <f t="shared" si="1"/>
        <v>23</v>
      </c>
      <c r="J22" s="2" t="b">
        <f t="shared" si="2"/>
        <v>1</v>
      </c>
      <c r="K22" s="5" t="str" cm="1">
        <f t="array" ref="K22:AK22">_xlfn.TEXTSPLIT(G22, " ")</f>
        <v>02</v>
      </c>
      <c r="L22" s="5" t="str">
        <v>20</v>
      </c>
      <c r="M22" s="5" t="str">
        <v>e0</v>
      </c>
      <c r="N22" s="5" t="str">
        <v>04</v>
      </c>
      <c r="O22" s="5" t="str">
        <v>00</v>
      </c>
      <c r="P22" s="5" t="str">
        <v>00</v>
      </c>
      <c r="Q22" s="5" t="str">
        <v>00</v>
      </c>
      <c r="R22" s="5" t="str">
        <v>06</v>
      </c>
      <c r="S22" s="5" t="str">
        <v>02</v>
      </c>
      <c r="T22" s="5" t="str">
        <v>20</v>
      </c>
      <c r="U22" s="5" t="str">
        <v>e0</v>
      </c>
      <c r="V22" s="5" t="str">
        <v>04</v>
      </c>
      <c r="W22" s="5" t="str">
        <v>00</v>
      </c>
      <c r="X22" s="5" t="str">
        <v>39</v>
      </c>
      <c r="Y22" s="8" t="str">
        <v>31</v>
      </c>
      <c r="Z22" s="5" t="str">
        <v>80</v>
      </c>
      <c r="AA22" s="5" t="str">
        <v>af</v>
      </c>
      <c r="AB22" s="5" t="str">
        <v>0d</v>
      </c>
      <c r="AC22" s="5" t="str">
        <v>00</v>
      </c>
      <c r="AD22" s="5" t="str">
        <v>0e</v>
      </c>
      <c r="AE22" s="5" t="str">
        <v>e0</v>
      </c>
      <c r="AF22" s="5" t="str">
        <v>00</v>
      </c>
      <c r="AG22" s="5" t="str">
        <v>00</v>
      </c>
      <c r="AH22" s="5" t="str">
        <v>89</v>
      </c>
      <c r="AI22" s="5" t="str">
        <v>00</v>
      </c>
      <c r="AJ22" s="5" t="str">
        <v>00</v>
      </c>
      <c r="AK22" s="5" t="str">
        <v>23</v>
      </c>
    </row>
    <row r="23" spans="1:37" ht="22" customHeight="1" x14ac:dyDescent="0.3">
      <c r="A23" s="2" t="s">
        <v>2</v>
      </c>
      <c r="B23" s="2" t="s">
        <v>3</v>
      </c>
      <c r="C23" s="2">
        <v>25</v>
      </c>
      <c r="D23" s="2" t="s">
        <v>3</v>
      </c>
      <c r="E23" s="2" t="s">
        <v>3</v>
      </c>
      <c r="F23" s="6" t="s">
        <v>285</v>
      </c>
      <c r="G23" s="5" t="s">
        <v>286</v>
      </c>
      <c r="H23" s="2" t="str" cm="1">
        <f t="array" ref="H23">_xlfn.LET(
  _xlpm.parts, _xlfn.TEXTSPLIT(G23, " "),
  _xlpm.count, COUNTA(_xlpm.parts),
  _xlpm.sum, SUM(--HEX2DEC(INDEX(_xlpm.parts, _xlfn.SEQUENCE(_xlpm.count - 1)))),
  "Dec: " &amp; _xlpm.sum &amp; " | Hex: " &amp; DEC2HEX(_xlpm.sum)
)</f>
        <v>Dec: 1328 | Hex: 530</v>
      </c>
      <c r="I23" s="2" t="str">
        <f t="shared" si="1"/>
        <v>24</v>
      </c>
      <c r="J23" s="2" t="b">
        <f t="shared" si="2"/>
        <v>1</v>
      </c>
      <c r="K23" s="5" t="str" cm="1">
        <f t="array" ref="K23:AK23">_xlfn.TEXTSPLIT(G23, " ")</f>
        <v>02</v>
      </c>
      <c r="L23" s="5" t="str">
        <v>20</v>
      </c>
      <c r="M23" s="5" t="str">
        <v>e0</v>
      </c>
      <c r="N23" s="5" t="str">
        <v>04</v>
      </c>
      <c r="O23" s="5" t="str">
        <v>00</v>
      </c>
      <c r="P23" s="5" t="str">
        <v>00</v>
      </c>
      <c r="Q23" s="5" t="str">
        <v>00</v>
      </c>
      <c r="R23" s="5" t="str">
        <v>06</v>
      </c>
      <c r="S23" s="5" t="str">
        <v>02</v>
      </c>
      <c r="T23" s="5" t="str">
        <v>20</v>
      </c>
      <c r="U23" s="5" t="str">
        <v>e0</v>
      </c>
      <c r="V23" s="5" t="str">
        <v>04</v>
      </c>
      <c r="W23" s="5" t="str">
        <v>00</v>
      </c>
      <c r="X23" s="5" t="str">
        <v>39</v>
      </c>
      <c r="Y23" s="8" t="str">
        <v>32</v>
      </c>
      <c r="Z23" s="5" t="str">
        <v>80</v>
      </c>
      <c r="AA23" s="5" t="str">
        <v>af</v>
      </c>
      <c r="AB23" s="5" t="str">
        <v>0d</v>
      </c>
      <c r="AC23" s="5" t="str">
        <v>00</v>
      </c>
      <c r="AD23" s="5" t="str">
        <v>0e</v>
      </c>
      <c r="AE23" s="5" t="str">
        <v>e0</v>
      </c>
      <c r="AF23" s="5" t="str">
        <v>00</v>
      </c>
      <c r="AG23" s="5" t="str">
        <v>00</v>
      </c>
      <c r="AH23" s="5" t="str">
        <v>89</v>
      </c>
      <c r="AI23" s="5" t="str">
        <v>00</v>
      </c>
      <c r="AJ23" s="5" t="str">
        <v>00</v>
      </c>
      <c r="AK23" s="5" t="str">
        <v>24</v>
      </c>
    </row>
    <row r="24" spans="1:37" ht="22" customHeight="1" x14ac:dyDescent="0.3">
      <c r="A24" s="2" t="s">
        <v>2</v>
      </c>
      <c r="B24" s="2" t="s">
        <v>3</v>
      </c>
      <c r="C24" s="2">
        <v>25.5</v>
      </c>
      <c r="D24" s="2" t="s">
        <v>3</v>
      </c>
      <c r="E24" s="2" t="s">
        <v>3</v>
      </c>
      <c r="F24" s="6" t="s">
        <v>287</v>
      </c>
      <c r="G24" s="5" t="s">
        <v>288</v>
      </c>
      <c r="H24" s="2" t="str" cm="1">
        <f t="array" ref="H24">_xlfn.LET(
  _xlpm.parts, _xlfn.TEXTSPLIT(G24, " "),
  _xlpm.count, COUNTA(_xlpm.parts),
  _xlpm.sum, SUM(--HEX2DEC(INDEX(_xlpm.parts, _xlfn.SEQUENCE(_xlpm.count - 1)))),
  "Dec: " &amp; _xlpm.sum &amp; " | Hex: " &amp; DEC2HEX(_xlpm.sum)
)</f>
        <v>Dec: 1329 | Hex: 531</v>
      </c>
      <c r="I24" s="2" t="str">
        <f t="shared" si="1"/>
        <v>25</v>
      </c>
      <c r="J24" s="2" t="b">
        <f t="shared" si="2"/>
        <v>1</v>
      </c>
      <c r="K24" s="5" t="str" cm="1">
        <f t="array" ref="K24:AK24">_xlfn.TEXTSPLIT(G24, " ")</f>
        <v>02</v>
      </c>
      <c r="L24" s="5" t="str">
        <v>20</v>
      </c>
      <c r="M24" s="5" t="str">
        <v>e0</v>
      </c>
      <c r="N24" s="5" t="str">
        <v>04</v>
      </c>
      <c r="O24" s="5" t="str">
        <v>00</v>
      </c>
      <c r="P24" s="5" t="str">
        <v>00</v>
      </c>
      <c r="Q24" s="5" t="str">
        <v>00</v>
      </c>
      <c r="R24" s="5" t="str">
        <v>06</v>
      </c>
      <c r="S24" s="5" t="str">
        <v>02</v>
      </c>
      <c r="T24" s="5" t="str">
        <v>20</v>
      </c>
      <c r="U24" s="5" t="str">
        <v>e0</v>
      </c>
      <c r="V24" s="5" t="str">
        <v>04</v>
      </c>
      <c r="W24" s="5" t="str">
        <v>00</v>
      </c>
      <c r="X24" s="5" t="str">
        <v>39</v>
      </c>
      <c r="Y24" s="8" t="str">
        <v>33</v>
      </c>
      <c r="Z24" s="5" t="str">
        <v>80</v>
      </c>
      <c r="AA24" s="5" t="str">
        <v>af</v>
      </c>
      <c r="AB24" s="5" t="str">
        <v>0d</v>
      </c>
      <c r="AC24" s="5" t="str">
        <v>00</v>
      </c>
      <c r="AD24" s="5" t="str">
        <v>0e</v>
      </c>
      <c r="AE24" s="5" t="str">
        <v>e0</v>
      </c>
      <c r="AF24" s="5" t="str">
        <v>00</v>
      </c>
      <c r="AG24" s="5" t="str">
        <v>00</v>
      </c>
      <c r="AH24" s="5" t="str">
        <v>89</v>
      </c>
      <c r="AI24" s="5" t="str">
        <v>00</v>
      </c>
      <c r="AJ24" s="5" t="str">
        <v>00</v>
      </c>
      <c r="AK24" s="5" t="str">
        <v>25</v>
      </c>
    </row>
    <row r="25" spans="1:37" ht="22" customHeight="1" x14ac:dyDescent="0.3">
      <c r="A25" s="2" t="s">
        <v>2</v>
      </c>
      <c r="B25" s="2" t="s">
        <v>3</v>
      </c>
      <c r="C25" s="2">
        <v>26</v>
      </c>
      <c r="D25" s="2" t="s">
        <v>3</v>
      </c>
      <c r="E25" s="2" t="s">
        <v>3</v>
      </c>
      <c r="F25" s="6" t="s">
        <v>289</v>
      </c>
      <c r="G25" s="5" t="s">
        <v>290</v>
      </c>
      <c r="H25" s="2" t="str" cm="1">
        <f t="array" ref="H25">_xlfn.LET(
  _xlpm.parts, _xlfn.TEXTSPLIT(G25, " "),
  _xlpm.count, COUNTA(_xlpm.parts),
  _xlpm.sum, SUM(--HEX2DEC(INDEX(_xlpm.parts, _xlfn.SEQUENCE(_xlpm.count - 1)))),
  "Dec: " &amp; _xlpm.sum &amp; " | Hex: " &amp; DEC2HEX(_xlpm.sum)
)</f>
        <v>Dec: 1330 | Hex: 532</v>
      </c>
      <c r="I25" s="2" t="str">
        <f t="shared" si="1"/>
        <v>26</v>
      </c>
      <c r="J25" s="2" t="b">
        <f t="shared" si="2"/>
        <v>1</v>
      </c>
      <c r="K25" s="5" t="str" cm="1">
        <f t="array" ref="K25:AK25">_xlfn.TEXTSPLIT(G25, " ")</f>
        <v>02</v>
      </c>
      <c r="L25" s="5" t="str">
        <v>20</v>
      </c>
      <c r="M25" s="5" t="str">
        <v>e0</v>
      </c>
      <c r="N25" s="5" t="str">
        <v>04</v>
      </c>
      <c r="O25" s="5" t="str">
        <v>00</v>
      </c>
      <c r="P25" s="5" t="str">
        <v>00</v>
      </c>
      <c r="Q25" s="5" t="str">
        <v>00</v>
      </c>
      <c r="R25" s="5" t="str">
        <v>06</v>
      </c>
      <c r="S25" s="5" t="str">
        <v>02</v>
      </c>
      <c r="T25" s="5" t="str">
        <v>20</v>
      </c>
      <c r="U25" s="5" t="str">
        <v>e0</v>
      </c>
      <c r="V25" s="5" t="str">
        <v>04</v>
      </c>
      <c r="W25" s="5" t="str">
        <v>00</v>
      </c>
      <c r="X25" s="5" t="str">
        <v>39</v>
      </c>
      <c r="Y25" s="8" t="str">
        <v>34</v>
      </c>
      <c r="Z25" s="5" t="str">
        <v>80</v>
      </c>
      <c r="AA25" s="5" t="str">
        <v>af</v>
      </c>
      <c r="AB25" s="5" t="str">
        <v>0d</v>
      </c>
      <c r="AC25" s="5" t="str">
        <v>00</v>
      </c>
      <c r="AD25" s="5" t="str">
        <v>0e</v>
      </c>
      <c r="AE25" s="5" t="str">
        <v>e0</v>
      </c>
      <c r="AF25" s="5" t="str">
        <v>00</v>
      </c>
      <c r="AG25" s="5" t="str">
        <v>00</v>
      </c>
      <c r="AH25" s="5" t="str">
        <v>89</v>
      </c>
      <c r="AI25" s="5" t="str">
        <v>00</v>
      </c>
      <c r="AJ25" s="5" t="str">
        <v>00</v>
      </c>
      <c r="AK25" s="5" t="str">
        <v>26</v>
      </c>
    </row>
    <row r="26" spans="1:37" ht="22" customHeight="1" x14ac:dyDescent="0.3">
      <c r="A26" s="2" t="s">
        <v>2</v>
      </c>
      <c r="B26" s="2" t="s">
        <v>3</v>
      </c>
      <c r="C26" s="2">
        <v>26.5</v>
      </c>
      <c r="D26" s="2" t="s">
        <v>3</v>
      </c>
      <c r="E26" s="2" t="s">
        <v>3</v>
      </c>
      <c r="F26" s="6" t="s">
        <v>291</v>
      </c>
      <c r="G26" s="5" t="s">
        <v>292</v>
      </c>
      <c r="H26" s="2" t="str" cm="1">
        <f t="array" ref="H26">_xlfn.LET(
  _xlpm.parts, _xlfn.TEXTSPLIT(G26, " "),
  _xlpm.count, COUNTA(_xlpm.parts),
  _xlpm.sum, SUM(--HEX2DEC(INDEX(_xlpm.parts, _xlfn.SEQUENCE(_xlpm.count - 1)))),
  "Dec: " &amp; _xlpm.sum &amp; " | Hex: " &amp; DEC2HEX(_xlpm.sum)
)</f>
        <v>Dec: 1331 | Hex: 533</v>
      </c>
      <c r="I26" s="2" t="str">
        <f t="shared" si="1"/>
        <v>27</v>
      </c>
      <c r="J26" s="2" t="b">
        <f t="shared" si="2"/>
        <v>1</v>
      </c>
      <c r="K26" s="5" t="str" cm="1">
        <f t="array" ref="K26:AK26">_xlfn.TEXTSPLIT(G26, " ")</f>
        <v>02</v>
      </c>
      <c r="L26" s="5" t="str">
        <v>20</v>
      </c>
      <c r="M26" s="5" t="str">
        <v>e0</v>
      </c>
      <c r="N26" s="5" t="str">
        <v>04</v>
      </c>
      <c r="O26" s="5" t="str">
        <v>00</v>
      </c>
      <c r="P26" s="5" t="str">
        <v>00</v>
      </c>
      <c r="Q26" s="5" t="str">
        <v>00</v>
      </c>
      <c r="R26" s="5" t="str">
        <v>06</v>
      </c>
      <c r="S26" s="5" t="str">
        <v>02</v>
      </c>
      <c r="T26" s="5" t="str">
        <v>20</v>
      </c>
      <c r="U26" s="5" t="str">
        <v>e0</v>
      </c>
      <c r="V26" s="5" t="str">
        <v>04</v>
      </c>
      <c r="W26" s="5" t="str">
        <v>00</v>
      </c>
      <c r="X26" s="5" t="str">
        <v>39</v>
      </c>
      <c r="Y26" s="8" t="str">
        <v>35</v>
      </c>
      <c r="Z26" s="5" t="str">
        <v>80</v>
      </c>
      <c r="AA26" s="5" t="str">
        <v>af</v>
      </c>
      <c r="AB26" s="5" t="str">
        <v>0d</v>
      </c>
      <c r="AC26" s="5" t="str">
        <v>00</v>
      </c>
      <c r="AD26" s="5" t="str">
        <v>0e</v>
      </c>
      <c r="AE26" s="5" t="str">
        <v>e0</v>
      </c>
      <c r="AF26" s="5" t="str">
        <v>00</v>
      </c>
      <c r="AG26" s="5" t="str">
        <v>00</v>
      </c>
      <c r="AH26" s="5" t="str">
        <v>89</v>
      </c>
      <c r="AI26" s="5" t="str">
        <v>00</v>
      </c>
      <c r="AJ26" s="5" t="str">
        <v>00</v>
      </c>
      <c r="AK26" s="5" t="str">
        <v>27</v>
      </c>
    </row>
    <row r="27" spans="1:37" ht="22" customHeight="1" x14ac:dyDescent="0.3">
      <c r="A27" s="2" t="s">
        <v>2</v>
      </c>
      <c r="B27" s="2" t="s">
        <v>3</v>
      </c>
      <c r="C27" s="2">
        <v>27</v>
      </c>
      <c r="D27" s="2" t="s">
        <v>3</v>
      </c>
      <c r="E27" s="2" t="s">
        <v>3</v>
      </c>
      <c r="F27" s="6" t="s">
        <v>293</v>
      </c>
      <c r="G27" s="5" t="s">
        <v>294</v>
      </c>
      <c r="H27" s="2" t="str" cm="1">
        <f t="array" ref="H27">_xlfn.LET(
  _xlpm.parts, _xlfn.TEXTSPLIT(G27, " "),
  _xlpm.count, COUNTA(_xlpm.parts),
  _xlpm.sum, SUM(--HEX2DEC(INDEX(_xlpm.parts, _xlfn.SEQUENCE(_xlpm.count - 1)))),
  "Dec: " &amp; _xlpm.sum &amp; " | Hex: " &amp; DEC2HEX(_xlpm.sum)
)</f>
        <v>Dec: 1332 | Hex: 534</v>
      </c>
      <c r="I27" s="2" t="str">
        <f t="shared" si="1"/>
        <v>28</v>
      </c>
      <c r="J27" s="2" t="b">
        <f t="shared" si="2"/>
        <v>1</v>
      </c>
      <c r="K27" s="5" t="str" cm="1">
        <f t="array" ref="K27:AK27">_xlfn.TEXTSPLIT(G27, " ")</f>
        <v>02</v>
      </c>
      <c r="L27" s="5" t="str">
        <v>20</v>
      </c>
      <c r="M27" s="5" t="str">
        <v>e0</v>
      </c>
      <c r="N27" s="5" t="str">
        <v>04</v>
      </c>
      <c r="O27" s="5" t="str">
        <v>00</v>
      </c>
      <c r="P27" s="5" t="str">
        <v>00</v>
      </c>
      <c r="Q27" s="5" t="str">
        <v>00</v>
      </c>
      <c r="R27" s="5" t="str">
        <v>06</v>
      </c>
      <c r="S27" s="5" t="str">
        <v>02</v>
      </c>
      <c r="T27" s="5" t="str">
        <v>20</v>
      </c>
      <c r="U27" s="5" t="str">
        <v>e0</v>
      </c>
      <c r="V27" s="5" t="str">
        <v>04</v>
      </c>
      <c r="W27" s="5" t="str">
        <v>00</v>
      </c>
      <c r="X27" s="5" t="str">
        <v>39</v>
      </c>
      <c r="Y27" s="8" t="str">
        <v>36</v>
      </c>
      <c r="Z27" s="5" t="str">
        <v>80</v>
      </c>
      <c r="AA27" s="5" t="str">
        <v>af</v>
      </c>
      <c r="AB27" s="5" t="str">
        <v>0d</v>
      </c>
      <c r="AC27" s="5" t="str">
        <v>00</v>
      </c>
      <c r="AD27" s="5" t="str">
        <v>0e</v>
      </c>
      <c r="AE27" s="5" t="str">
        <v>e0</v>
      </c>
      <c r="AF27" s="5" t="str">
        <v>00</v>
      </c>
      <c r="AG27" s="5" t="str">
        <v>00</v>
      </c>
      <c r="AH27" s="5" t="str">
        <v>89</v>
      </c>
      <c r="AI27" s="5" t="str">
        <v>00</v>
      </c>
      <c r="AJ27" s="5" t="str">
        <v>00</v>
      </c>
      <c r="AK27" s="5" t="str">
        <v>28</v>
      </c>
    </row>
    <row r="28" spans="1:37" ht="22" customHeight="1" x14ac:dyDescent="0.3">
      <c r="A28" s="2" t="s">
        <v>2</v>
      </c>
      <c r="B28" s="2" t="s">
        <v>3</v>
      </c>
      <c r="C28" s="2">
        <v>27.5</v>
      </c>
      <c r="D28" s="2" t="s">
        <v>3</v>
      </c>
      <c r="E28" s="2" t="s">
        <v>3</v>
      </c>
      <c r="F28" s="6" t="s">
        <v>295</v>
      </c>
      <c r="G28" s="5" t="s">
        <v>296</v>
      </c>
      <c r="H28" s="2" t="str" cm="1">
        <f t="array" ref="H28">_xlfn.LET(
  _xlpm.parts, _xlfn.TEXTSPLIT(G28, " "),
  _xlpm.count, COUNTA(_xlpm.parts),
  _xlpm.sum, SUM(--HEX2DEC(INDEX(_xlpm.parts, _xlfn.SEQUENCE(_xlpm.count - 1)))),
  "Dec: " &amp; _xlpm.sum &amp; " | Hex: " &amp; DEC2HEX(_xlpm.sum)
)</f>
        <v>Dec: 1333 | Hex: 535</v>
      </c>
      <c r="I28" s="2" t="str">
        <f t="shared" si="1"/>
        <v>29</v>
      </c>
      <c r="J28" s="2" t="b">
        <f t="shared" si="2"/>
        <v>1</v>
      </c>
      <c r="K28" s="5" t="str" cm="1">
        <f t="array" ref="K28:AK28">_xlfn.TEXTSPLIT(G28, " ")</f>
        <v>02</v>
      </c>
      <c r="L28" s="5" t="str">
        <v>20</v>
      </c>
      <c r="M28" s="5" t="str">
        <v>e0</v>
      </c>
      <c r="N28" s="5" t="str">
        <v>04</v>
      </c>
      <c r="O28" s="5" t="str">
        <v>00</v>
      </c>
      <c r="P28" s="5" t="str">
        <v>00</v>
      </c>
      <c r="Q28" s="5" t="str">
        <v>00</v>
      </c>
      <c r="R28" s="5" t="str">
        <v>06</v>
      </c>
      <c r="S28" s="5" t="str">
        <v>02</v>
      </c>
      <c r="T28" s="5" t="str">
        <v>20</v>
      </c>
      <c r="U28" s="5" t="str">
        <v>e0</v>
      </c>
      <c r="V28" s="5" t="str">
        <v>04</v>
      </c>
      <c r="W28" s="5" t="str">
        <v>00</v>
      </c>
      <c r="X28" s="5" t="str">
        <v>39</v>
      </c>
      <c r="Y28" s="8" t="str">
        <v>37</v>
      </c>
      <c r="Z28" s="5" t="str">
        <v>80</v>
      </c>
      <c r="AA28" s="5" t="str">
        <v>af</v>
      </c>
      <c r="AB28" s="5" t="str">
        <v>0d</v>
      </c>
      <c r="AC28" s="5" t="str">
        <v>00</v>
      </c>
      <c r="AD28" s="5" t="str">
        <v>0e</v>
      </c>
      <c r="AE28" s="5" t="str">
        <v>e0</v>
      </c>
      <c r="AF28" s="5" t="str">
        <v>00</v>
      </c>
      <c r="AG28" s="5" t="str">
        <v>00</v>
      </c>
      <c r="AH28" s="5" t="str">
        <v>89</v>
      </c>
      <c r="AI28" s="5" t="str">
        <v>00</v>
      </c>
      <c r="AJ28" s="5" t="str">
        <v>00</v>
      </c>
      <c r="AK28" s="5" t="str">
        <v>29</v>
      </c>
    </row>
    <row r="29" spans="1:37" ht="22" customHeight="1" x14ac:dyDescent="0.3">
      <c r="A29" s="2" t="s">
        <v>2</v>
      </c>
      <c r="B29" s="2" t="s">
        <v>3</v>
      </c>
      <c r="C29" s="2">
        <v>28</v>
      </c>
      <c r="D29" s="2" t="s">
        <v>3</v>
      </c>
      <c r="E29" s="2" t="s">
        <v>3</v>
      </c>
      <c r="F29" s="6" t="s">
        <v>297</v>
      </c>
      <c r="G29" s="5" t="s">
        <v>298</v>
      </c>
      <c r="H29" s="2" t="str" cm="1">
        <f t="array" ref="H29">_xlfn.LET(
  _xlpm.parts, _xlfn.TEXTSPLIT(G29, " "),
  _xlpm.count, COUNTA(_xlpm.parts),
  _xlpm.sum, SUM(--HEX2DEC(INDEX(_xlpm.parts, _xlfn.SEQUENCE(_xlpm.count - 1)))),
  "Dec: " &amp; _xlpm.sum &amp; " | Hex: " &amp; DEC2HEX(_xlpm.sum)
)</f>
        <v>Dec: 1334 | Hex: 536</v>
      </c>
      <c r="I29" s="2" t="str">
        <f t="shared" si="1"/>
        <v>2A</v>
      </c>
      <c r="J29" s="2" t="b">
        <f t="shared" si="2"/>
        <v>1</v>
      </c>
      <c r="K29" s="5" t="str" cm="1">
        <f t="array" ref="K29:AK29">_xlfn.TEXTSPLIT(G29, " ")</f>
        <v>02</v>
      </c>
      <c r="L29" s="5" t="str">
        <v>20</v>
      </c>
      <c r="M29" s="5" t="str">
        <v>e0</v>
      </c>
      <c r="N29" s="5" t="str">
        <v>04</v>
      </c>
      <c r="O29" s="5" t="str">
        <v>00</v>
      </c>
      <c r="P29" s="5" t="str">
        <v>00</v>
      </c>
      <c r="Q29" s="5" t="str">
        <v>00</v>
      </c>
      <c r="R29" s="5" t="str">
        <v>06</v>
      </c>
      <c r="S29" s="5" t="str">
        <v>02</v>
      </c>
      <c r="T29" s="5" t="str">
        <v>20</v>
      </c>
      <c r="U29" s="5" t="str">
        <v>e0</v>
      </c>
      <c r="V29" s="5" t="str">
        <v>04</v>
      </c>
      <c r="W29" s="5" t="str">
        <v>00</v>
      </c>
      <c r="X29" s="5" t="str">
        <v>39</v>
      </c>
      <c r="Y29" s="8" t="str">
        <v>38</v>
      </c>
      <c r="Z29" s="5" t="str">
        <v>80</v>
      </c>
      <c r="AA29" s="5" t="str">
        <v>af</v>
      </c>
      <c r="AB29" s="5" t="str">
        <v>0d</v>
      </c>
      <c r="AC29" s="5" t="str">
        <v>00</v>
      </c>
      <c r="AD29" s="5" t="str">
        <v>0e</v>
      </c>
      <c r="AE29" s="5" t="str">
        <v>e0</v>
      </c>
      <c r="AF29" s="5" t="str">
        <v>00</v>
      </c>
      <c r="AG29" s="5" t="str">
        <v>00</v>
      </c>
      <c r="AH29" s="5" t="str">
        <v>89</v>
      </c>
      <c r="AI29" s="5" t="str">
        <v>00</v>
      </c>
      <c r="AJ29" s="5" t="str">
        <v>00</v>
      </c>
      <c r="AK29" s="5" t="str">
        <v>2a</v>
      </c>
    </row>
    <row r="30" spans="1:37" ht="22" customHeight="1" x14ac:dyDescent="0.3">
      <c r="A30" s="2" t="s">
        <v>2</v>
      </c>
      <c r="B30" s="2" t="s">
        <v>3</v>
      </c>
      <c r="C30" s="2">
        <v>28.5</v>
      </c>
      <c r="D30" s="2" t="s">
        <v>3</v>
      </c>
      <c r="E30" s="2" t="s">
        <v>3</v>
      </c>
      <c r="F30" s="6" t="s">
        <v>300</v>
      </c>
      <c r="G30" s="5" t="s">
        <v>299</v>
      </c>
      <c r="H30" s="2" t="str" cm="1">
        <f t="array" ref="H30">_xlfn.LET(
  _xlpm.parts, _xlfn.TEXTSPLIT(G30, " "),
  _xlpm.count, COUNTA(_xlpm.parts),
  _xlpm.sum, SUM(--HEX2DEC(INDEX(_xlpm.parts, _xlfn.SEQUENCE(_xlpm.count - 1)))),
  "Dec: " &amp; _xlpm.sum &amp; " | Hex: " &amp; DEC2HEX(_xlpm.sum)
)</f>
        <v>Dec: 1335 | Hex: 537</v>
      </c>
      <c r="I30" s="2" t="str">
        <f t="shared" si="1"/>
        <v>2B</v>
      </c>
      <c r="J30" s="2" t="b">
        <f t="shared" si="2"/>
        <v>1</v>
      </c>
      <c r="K30" s="5" t="str" cm="1">
        <f t="array" ref="K30:AK30">_xlfn.TEXTSPLIT(G30, " ")</f>
        <v>02</v>
      </c>
      <c r="L30" s="5" t="str">
        <v>20</v>
      </c>
      <c r="M30" s="5" t="str">
        <v>e0</v>
      </c>
      <c r="N30" s="5" t="str">
        <v>04</v>
      </c>
      <c r="O30" s="5" t="str">
        <v>00</v>
      </c>
      <c r="P30" s="5" t="str">
        <v>00</v>
      </c>
      <c r="Q30" s="5" t="str">
        <v>00</v>
      </c>
      <c r="R30" s="5" t="str">
        <v>06</v>
      </c>
      <c r="S30" s="5" t="str">
        <v>02</v>
      </c>
      <c r="T30" s="5" t="str">
        <v>20</v>
      </c>
      <c r="U30" s="5" t="str">
        <v>e0</v>
      </c>
      <c r="V30" s="5" t="str">
        <v>04</v>
      </c>
      <c r="W30" s="5" t="str">
        <v>00</v>
      </c>
      <c r="X30" s="5" t="str">
        <v>39</v>
      </c>
      <c r="Y30" s="8" t="str">
        <v>39</v>
      </c>
      <c r="Z30" s="5" t="str">
        <v>80</v>
      </c>
      <c r="AA30" s="5" t="str">
        <v>af</v>
      </c>
      <c r="AB30" s="5" t="str">
        <v>0d</v>
      </c>
      <c r="AC30" s="5" t="str">
        <v>00</v>
      </c>
      <c r="AD30" s="5" t="str">
        <v>0e</v>
      </c>
      <c r="AE30" s="5" t="str">
        <v>e0</v>
      </c>
      <c r="AF30" s="5" t="str">
        <v>00</v>
      </c>
      <c r="AG30" s="5" t="str">
        <v>00</v>
      </c>
      <c r="AH30" s="5" t="str">
        <v>89</v>
      </c>
      <c r="AI30" s="5" t="str">
        <v>00</v>
      </c>
      <c r="AJ30" s="5" t="str">
        <v>00</v>
      </c>
      <c r="AK30" s="5" t="str">
        <v>2b</v>
      </c>
    </row>
    <row r="31" spans="1:37" ht="22" customHeight="1" x14ac:dyDescent="0.3">
      <c r="A31" s="2" t="s">
        <v>2</v>
      </c>
      <c r="B31" s="2" t="s">
        <v>3</v>
      </c>
      <c r="C31" s="2">
        <v>29</v>
      </c>
      <c r="D31" s="2" t="s">
        <v>3</v>
      </c>
      <c r="E31" s="2" t="s">
        <v>3</v>
      </c>
      <c r="F31" s="6" t="s">
        <v>301</v>
      </c>
      <c r="G31" s="5" t="s">
        <v>302</v>
      </c>
      <c r="H31" s="2" t="str" cm="1">
        <f t="array" ref="H31">_xlfn.LET(
  _xlpm.parts, _xlfn.TEXTSPLIT(G31, " "),
  _xlpm.count, COUNTA(_xlpm.parts),
  _xlpm.sum, SUM(--HEX2DEC(INDEX(_xlpm.parts, _xlfn.SEQUENCE(_xlpm.count - 1)))),
  "Dec: " &amp; _xlpm.sum &amp; " | Hex: " &amp; DEC2HEX(_xlpm.sum)
)</f>
        <v>Dec: 1336 | Hex: 538</v>
      </c>
      <c r="I31" s="2" t="str">
        <f t="shared" si="1"/>
        <v>2C</v>
      </c>
      <c r="J31" s="2" t="b">
        <f t="shared" si="2"/>
        <v>1</v>
      </c>
      <c r="K31" s="5" t="str" cm="1">
        <f t="array" ref="K31:AK31">_xlfn.TEXTSPLIT(G31, " ")</f>
        <v>02</v>
      </c>
      <c r="L31" s="5" t="str">
        <v>20</v>
      </c>
      <c r="M31" s="5" t="str">
        <v>e0</v>
      </c>
      <c r="N31" s="5" t="str">
        <v>04</v>
      </c>
      <c r="O31" s="5" t="str">
        <v>00</v>
      </c>
      <c r="P31" s="5" t="str">
        <v>00</v>
      </c>
      <c r="Q31" s="5" t="str">
        <v>00</v>
      </c>
      <c r="R31" s="5" t="str">
        <v>06</v>
      </c>
      <c r="S31" s="5" t="str">
        <v>02</v>
      </c>
      <c r="T31" s="5" t="str">
        <v>20</v>
      </c>
      <c r="U31" s="5" t="str">
        <v>e0</v>
      </c>
      <c r="V31" s="5" t="str">
        <v>04</v>
      </c>
      <c r="W31" s="5" t="str">
        <v>00</v>
      </c>
      <c r="X31" s="5" t="str">
        <v>39</v>
      </c>
      <c r="Y31" s="8" t="str">
        <v>3a</v>
      </c>
      <c r="Z31" s="5" t="str">
        <v>80</v>
      </c>
      <c r="AA31" s="5" t="str">
        <v>af</v>
      </c>
      <c r="AB31" s="5" t="str">
        <v>0d</v>
      </c>
      <c r="AC31" s="5" t="str">
        <v>00</v>
      </c>
      <c r="AD31" s="5" t="str">
        <v>0e</v>
      </c>
      <c r="AE31" s="5" t="str">
        <v>e0</v>
      </c>
      <c r="AF31" s="5" t="str">
        <v>00</v>
      </c>
      <c r="AG31" s="5" t="str">
        <v>00</v>
      </c>
      <c r="AH31" s="5" t="str">
        <v>89</v>
      </c>
      <c r="AI31" s="5" t="str">
        <v>00</v>
      </c>
      <c r="AJ31" s="5" t="str">
        <v>00</v>
      </c>
      <c r="AK31" s="5" t="str">
        <v>2c</v>
      </c>
    </row>
    <row r="32" spans="1:37" ht="22" customHeight="1" x14ac:dyDescent="0.3">
      <c r="A32" s="2" t="s">
        <v>2</v>
      </c>
      <c r="B32" s="2" t="s">
        <v>3</v>
      </c>
      <c r="C32" s="2">
        <v>29.5</v>
      </c>
      <c r="D32" s="2" t="s">
        <v>3</v>
      </c>
      <c r="E32" s="2" t="s">
        <v>3</v>
      </c>
      <c r="F32" s="6" t="s">
        <v>303</v>
      </c>
      <c r="G32" s="5" t="s">
        <v>304</v>
      </c>
      <c r="H32" s="2" t="str" cm="1">
        <f t="array" ref="H32">_xlfn.LET(
  _xlpm.parts, _xlfn.TEXTSPLIT(G32, " "),
  _xlpm.count, COUNTA(_xlpm.parts),
  _xlpm.sum, SUM(--HEX2DEC(INDEX(_xlpm.parts, _xlfn.SEQUENCE(_xlpm.count - 1)))),
  "Dec: " &amp; _xlpm.sum &amp; " | Hex: " &amp; DEC2HEX(_xlpm.sum)
)</f>
        <v>Dec: 1337 | Hex: 539</v>
      </c>
      <c r="I32" s="2" t="str">
        <f t="shared" si="1"/>
        <v>2D</v>
      </c>
      <c r="J32" s="2" t="b">
        <f t="shared" si="2"/>
        <v>1</v>
      </c>
      <c r="K32" s="5" t="str" cm="1">
        <f t="array" ref="K32:AK32">_xlfn.TEXTSPLIT(G32, " ")</f>
        <v>02</v>
      </c>
      <c r="L32" s="5" t="str">
        <v>20</v>
      </c>
      <c r="M32" s="5" t="str">
        <v>e0</v>
      </c>
      <c r="N32" s="5" t="str">
        <v>04</v>
      </c>
      <c r="O32" s="5" t="str">
        <v>00</v>
      </c>
      <c r="P32" s="5" t="str">
        <v>00</v>
      </c>
      <c r="Q32" s="5" t="str">
        <v>00</v>
      </c>
      <c r="R32" s="5" t="str">
        <v>06</v>
      </c>
      <c r="S32" s="5" t="str">
        <v>02</v>
      </c>
      <c r="T32" s="5" t="str">
        <v>20</v>
      </c>
      <c r="U32" s="5" t="str">
        <v>e0</v>
      </c>
      <c r="V32" s="5" t="str">
        <v>04</v>
      </c>
      <c r="W32" s="5" t="str">
        <v>00</v>
      </c>
      <c r="X32" s="5" t="str">
        <v>39</v>
      </c>
      <c r="Y32" s="8" t="str">
        <v>3b</v>
      </c>
      <c r="Z32" s="5" t="str">
        <v>80</v>
      </c>
      <c r="AA32" s="5" t="str">
        <v>af</v>
      </c>
      <c r="AB32" s="5" t="str">
        <v>0d</v>
      </c>
      <c r="AC32" s="5" t="str">
        <v>00</v>
      </c>
      <c r="AD32" s="5" t="str">
        <v>0e</v>
      </c>
      <c r="AE32" s="5" t="str">
        <v>e0</v>
      </c>
      <c r="AF32" s="5" t="str">
        <v>00</v>
      </c>
      <c r="AG32" s="5" t="str">
        <v>00</v>
      </c>
      <c r="AH32" s="5" t="str">
        <v>89</v>
      </c>
      <c r="AI32" s="5" t="str">
        <v>00</v>
      </c>
      <c r="AJ32" s="5" t="str">
        <v>00</v>
      </c>
      <c r="AK32" s="5" t="str">
        <v>2d</v>
      </c>
    </row>
    <row r="33" spans="1:37" ht="22" customHeight="1" x14ac:dyDescent="0.3">
      <c r="A33" s="2" t="s">
        <v>2</v>
      </c>
      <c r="B33" s="2" t="s">
        <v>3</v>
      </c>
      <c r="C33" s="2">
        <v>30</v>
      </c>
      <c r="D33" s="2" t="s">
        <v>3</v>
      </c>
      <c r="E33" s="2" t="s">
        <v>3</v>
      </c>
      <c r="F33" s="6" t="s">
        <v>305</v>
      </c>
      <c r="G33" s="5" t="s">
        <v>306</v>
      </c>
      <c r="H33" s="2" t="str" cm="1">
        <f t="array" ref="H33">_xlfn.LET(
  _xlpm.parts, _xlfn.TEXTSPLIT(G33, " "),
  _xlpm.count, COUNTA(_xlpm.parts),
  _xlpm.sum, SUM(--HEX2DEC(INDEX(_xlpm.parts, _xlfn.SEQUENCE(_xlpm.count - 1)))),
  "Dec: " &amp; _xlpm.sum &amp; " | Hex: " &amp; DEC2HEX(_xlpm.sum)
)</f>
        <v>Dec: 1338 | Hex: 53A</v>
      </c>
      <c r="I33" s="2" t="str">
        <f t="shared" si="1"/>
        <v>2E</v>
      </c>
      <c r="J33" s="2" t="b">
        <f t="shared" si="2"/>
        <v>1</v>
      </c>
      <c r="K33" s="5" t="str" cm="1">
        <f t="array" ref="K33:AK33">_xlfn.TEXTSPLIT(G33, " ")</f>
        <v>02</v>
      </c>
      <c r="L33" s="5" t="str">
        <v>20</v>
      </c>
      <c r="M33" s="5" t="str">
        <v>e0</v>
      </c>
      <c r="N33" s="5" t="str">
        <v>04</v>
      </c>
      <c r="O33" s="5" t="str">
        <v>00</v>
      </c>
      <c r="P33" s="5" t="str">
        <v>00</v>
      </c>
      <c r="Q33" s="5" t="str">
        <v>00</v>
      </c>
      <c r="R33" s="5" t="str">
        <v>06</v>
      </c>
      <c r="S33" s="5" t="str">
        <v>02</v>
      </c>
      <c r="T33" s="5" t="str">
        <v>20</v>
      </c>
      <c r="U33" s="5" t="str">
        <v>e0</v>
      </c>
      <c r="V33" s="5" t="str">
        <v>04</v>
      </c>
      <c r="W33" s="5" t="str">
        <v>00</v>
      </c>
      <c r="X33" s="5" t="str">
        <v>39</v>
      </c>
      <c r="Y33" s="8" t="str">
        <v>3c</v>
      </c>
      <c r="Z33" s="5" t="str">
        <v>80</v>
      </c>
      <c r="AA33" s="5" t="str">
        <v>af</v>
      </c>
      <c r="AB33" s="5" t="str">
        <v>0d</v>
      </c>
      <c r="AC33" s="5" t="str">
        <v>00</v>
      </c>
      <c r="AD33" s="5" t="str">
        <v>0e</v>
      </c>
      <c r="AE33" s="5" t="str">
        <v>e0</v>
      </c>
      <c r="AF33" s="5" t="str">
        <v>00</v>
      </c>
      <c r="AG33" s="5" t="str">
        <v>00</v>
      </c>
      <c r="AH33" s="5" t="str">
        <v>89</v>
      </c>
      <c r="AI33" s="5" t="str">
        <v>00</v>
      </c>
      <c r="AJ33" s="5" t="str">
        <v>00</v>
      </c>
      <c r="AK33" s="5" t="str">
        <v>2e</v>
      </c>
    </row>
    <row r="34" spans="1:37" ht="22" customHeight="1" x14ac:dyDescent="0.3">
      <c r="A34" s="2"/>
      <c r="B34" s="2"/>
      <c r="C34" s="2"/>
      <c r="D34" s="2"/>
      <c r="E34" s="2"/>
      <c r="H34" s="2"/>
      <c r="I34" s="2"/>
      <c r="J34" s="2"/>
    </row>
    <row r="35" spans="1:37" ht="22" customHeight="1" x14ac:dyDescent="0.3">
      <c r="A35" s="2" t="s">
        <v>1</v>
      </c>
      <c r="B35" s="2" t="s">
        <v>5</v>
      </c>
      <c r="C35" s="2">
        <v>30</v>
      </c>
      <c r="D35" s="2" t="s">
        <v>3</v>
      </c>
      <c r="E35" s="2" t="s">
        <v>3</v>
      </c>
      <c r="F35" s="6" t="s">
        <v>305</v>
      </c>
      <c r="G35" s="5" t="s">
        <v>306</v>
      </c>
      <c r="H35" s="2" t="str" cm="1">
        <f t="array" ref="H35">_xlfn.LET(
  _xlpm.parts, _xlfn.TEXTSPLIT(G35, " "),
  _xlpm.count, COUNTA(_xlpm.parts),
  _xlpm.sum, SUM(--HEX2DEC(INDEX(_xlpm.parts, _xlfn.SEQUENCE(_xlpm.count - 1)))),
  "Dec: " &amp; _xlpm.sum &amp; " | Hex: " &amp; DEC2HEX(_xlpm.sum)
)</f>
        <v>Dec: 1338 | Hex: 53A</v>
      </c>
      <c r="I35" s="2" t="str">
        <f t="shared" ref="I35:I40" si="3">DEC2HEX(MOD(VALUE(MID(H35, 6, FIND("|", H35)-7)) - 12, 256), 2)</f>
        <v>2E</v>
      </c>
      <c r="J35" s="2" t="b">
        <f t="shared" ref="J35:J40" si="4">I35=AK35</f>
        <v>1</v>
      </c>
      <c r="K35" s="5" t="str" cm="1">
        <f t="array" ref="K35:AK35">_xlfn.TEXTSPLIT(G35, " ")</f>
        <v>02</v>
      </c>
      <c r="L35" s="5" t="str">
        <v>20</v>
      </c>
      <c r="M35" s="5" t="str">
        <v>e0</v>
      </c>
      <c r="N35" s="5" t="str">
        <v>04</v>
      </c>
      <c r="O35" s="5" t="str">
        <v>00</v>
      </c>
      <c r="P35" s="5" t="str">
        <v>00</v>
      </c>
      <c r="Q35" s="5" t="str">
        <v>00</v>
      </c>
      <c r="R35" s="5" t="str">
        <v>06</v>
      </c>
      <c r="S35" s="5" t="str">
        <v>02</v>
      </c>
      <c r="T35" s="5" t="str">
        <v>20</v>
      </c>
      <c r="U35" s="5" t="str">
        <v>e0</v>
      </c>
      <c r="V35" s="5" t="str">
        <v>04</v>
      </c>
      <c r="W35" s="5" t="str">
        <v>00</v>
      </c>
      <c r="X35" s="5" t="str">
        <v>39</v>
      </c>
      <c r="Y35" s="5" t="str">
        <v>3c</v>
      </c>
      <c r="Z35" s="5" t="str">
        <v>80</v>
      </c>
      <c r="AA35" s="8" t="str">
        <v>af</v>
      </c>
      <c r="AB35" s="5" t="str">
        <v>0d</v>
      </c>
      <c r="AC35" s="5" t="str">
        <v>00</v>
      </c>
      <c r="AD35" s="5" t="str">
        <v>0e</v>
      </c>
      <c r="AE35" s="5" t="str">
        <v>e0</v>
      </c>
      <c r="AF35" s="5" t="str">
        <v>00</v>
      </c>
      <c r="AG35" s="5" t="str">
        <v>00</v>
      </c>
      <c r="AH35" s="5" t="str">
        <v>89</v>
      </c>
      <c r="AI35" s="5" t="str">
        <v>00</v>
      </c>
      <c r="AJ35" s="5" t="str">
        <v>00</v>
      </c>
      <c r="AK35" s="5" t="str">
        <v>2e</v>
      </c>
    </row>
    <row r="36" spans="1:37" ht="22" customHeight="1" x14ac:dyDescent="0.3">
      <c r="A36" s="2" t="s">
        <v>1</v>
      </c>
      <c r="B36" s="2">
        <v>1</v>
      </c>
      <c r="C36" s="2">
        <v>30</v>
      </c>
      <c r="D36" s="2" t="s">
        <v>3</v>
      </c>
      <c r="E36" s="2" t="s">
        <v>3</v>
      </c>
      <c r="F36" s="6" t="s">
        <v>307</v>
      </c>
      <c r="G36" s="5" t="s">
        <v>340</v>
      </c>
      <c r="H36" s="2" t="str" cm="1">
        <f t="array" ref="H36">_xlfn.LET(
  _xlpm.parts, _xlfn.TEXTSPLIT(G36, " "),
  _xlpm.count, COUNTA(_xlpm.parts),
  _xlpm.sum, SUM(--HEX2DEC(INDEX(_xlpm.parts, _xlfn.SEQUENCE(_xlpm.count - 1)))),
  "Dec: " &amp; _xlpm.sum &amp; " | Hex: " &amp; DEC2HEX(_xlpm.sum)
)</f>
        <v>Dec: 1226 | Hex: 4CA</v>
      </c>
      <c r="I36" s="2" t="str">
        <f t="shared" si="3"/>
        <v>BE</v>
      </c>
      <c r="J36" s="2" t="b">
        <f t="shared" si="4"/>
        <v>1</v>
      </c>
      <c r="K36" s="5" t="str" cm="1">
        <f t="array" ref="K36:AK36">_xlfn.TEXTSPLIT(G36, " ")</f>
        <v>02</v>
      </c>
      <c r="L36" s="5" t="str">
        <v>20</v>
      </c>
      <c r="M36" s="5" t="str">
        <v>e0</v>
      </c>
      <c r="N36" s="5" t="str">
        <v>04</v>
      </c>
      <c r="O36" s="5" t="str">
        <v>00</v>
      </c>
      <c r="P36" s="5" t="str">
        <v>00</v>
      </c>
      <c r="Q36" s="5" t="str">
        <v>00</v>
      </c>
      <c r="R36" s="5" t="str">
        <v>06</v>
      </c>
      <c r="S36" s="5" t="str">
        <v>02</v>
      </c>
      <c r="T36" s="5" t="str">
        <v>20</v>
      </c>
      <c r="U36" s="5" t="str">
        <v>e0</v>
      </c>
      <c r="V36" s="5" t="str">
        <v>04</v>
      </c>
      <c r="W36" s="5" t="str">
        <v>00</v>
      </c>
      <c r="X36" s="5" t="str">
        <v>39</v>
      </c>
      <c r="Y36" s="5" t="str">
        <v>3c</v>
      </c>
      <c r="Z36" s="5" t="str">
        <v>80</v>
      </c>
      <c r="AA36" s="8" t="str">
        <v>3f</v>
      </c>
      <c r="AB36" s="5" t="str">
        <v>0d</v>
      </c>
      <c r="AC36" s="5" t="str">
        <v>00</v>
      </c>
      <c r="AD36" s="5" t="str">
        <v>0e</v>
      </c>
      <c r="AE36" s="5" t="str">
        <v>e0</v>
      </c>
      <c r="AF36" s="5" t="str">
        <v>00</v>
      </c>
      <c r="AG36" s="5" t="str">
        <v>00</v>
      </c>
      <c r="AH36" s="5" t="str">
        <v>89</v>
      </c>
      <c r="AI36" s="5" t="str">
        <v>00</v>
      </c>
      <c r="AJ36" s="5" t="str">
        <v>00</v>
      </c>
      <c r="AK36" s="5" t="str">
        <v>be</v>
      </c>
    </row>
    <row r="37" spans="1:37" ht="22" customHeight="1" x14ac:dyDescent="0.3">
      <c r="A37" s="2" t="s">
        <v>1</v>
      </c>
      <c r="B37" s="2">
        <v>2</v>
      </c>
      <c r="C37" s="2">
        <v>30</v>
      </c>
      <c r="D37" s="2" t="s">
        <v>3</v>
      </c>
      <c r="E37" s="2" t="s">
        <v>3</v>
      </c>
      <c r="G37" s="5" t="s">
        <v>341</v>
      </c>
      <c r="H37" s="2" t="str" cm="1">
        <f t="array" ref="H37">_xlfn.LET(
  _xlpm.parts, _xlfn.TEXTSPLIT(G37, " "),
  _xlpm.count, COUNTA(_xlpm.parts),
  _xlpm.sum, SUM(--HEX2DEC(INDEX(_xlpm.parts, _xlfn.SEQUENCE(_xlpm.count - 1)))),
  "Dec: " &amp; _xlpm.sum &amp; " | Hex: " &amp; DEC2HEX(_xlpm.sum)
)</f>
        <v>Dec: 1242 | Hex: 4DA</v>
      </c>
      <c r="I37" s="2" t="str">
        <f t="shared" si="3"/>
        <v>CE</v>
      </c>
      <c r="J37" s="2" t="b">
        <f t="shared" si="4"/>
        <v>1</v>
      </c>
      <c r="K37" s="5" t="str" cm="1">
        <f t="array" ref="K37:AK37">_xlfn.TEXTSPLIT(G37, " ")</f>
        <v>02</v>
      </c>
      <c r="L37" s="5" t="str">
        <v>20</v>
      </c>
      <c r="M37" s="5" t="str">
        <v>e0</v>
      </c>
      <c r="N37" s="5" t="str">
        <v>04</v>
      </c>
      <c r="O37" s="5" t="str">
        <v>00</v>
      </c>
      <c r="P37" s="5" t="str">
        <v>00</v>
      </c>
      <c r="Q37" s="5" t="str">
        <v>00</v>
      </c>
      <c r="R37" s="5" t="str">
        <v>06</v>
      </c>
      <c r="S37" s="5" t="str">
        <v>02</v>
      </c>
      <c r="T37" s="5" t="str">
        <v>20</v>
      </c>
      <c r="U37" s="5" t="str">
        <v>e0</v>
      </c>
      <c r="V37" s="5" t="str">
        <v>04</v>
      </c>
      <c r="W37" s="5" t="str">
        <v>00</v>
      </c>
      <c r="X37" s="5" t="str">
        <v>39</v>
      </c>
      <c r="Y37" s="5" t="str">
        <v>3c</v>
      </c>
      <c r="Z37" s="5" t="str">
        <v>80</v>
      </c>
      <c r="AA37" s="8" t="str">
        <v>4f</v>
      </c>
      <c r="AB37" s="5" t="str">
        <v>0d</v>
      </c>
      <c r="AC37" s="5" t="str">
        <v>00</v>
      </c>
      <c r="AD37" s="5" t="str">
        <v>0e</v>
      </c>
      <c r="AE37" s="5" t="str">
        <v>e0</v>
      </c>
      <c r="AF37" s="5" t="str">
        <v>00</v>
      </c>
      <c r="AG37" s="5" t="str">
        <v>00</v>
      </c>
      <c r="AH37" s="5" t="str">
        <v>89</v>
      </c>
      <c r="AI37" s="5" t="str">
        <v>00</v>
      </c>
      <c r="AJ37" s="5" t="str">
        <v>00</v>
      </c>
      <c r="AK37" s="5" t="str">
        <v>ce</v>
      </c>
    </row>
    <row r="38" spans="1:37" ht="22" customHeight="1" x14ac:dyDescent="0.3">
      <c r="A38" s="2" t="s">
        <v>1</v>
      </c>
      <c r="B38" s="2">
        <v>3</v>
      </c>
      <c r="C38" s="2">
        <v>30</v>
      </c>
      <c r="D38" s="2" t="s">
        <v>3</v>
      </c>
      <c r="E38" s="2" t="s">
        <v>3</v>
      </c>
      <c r="G38" s="9" t="s">
        <v>342</v>
      </c>
      <c r="H38" s="2" t="str" cm="1">
        <f t="array" ref="H38">_xlfn.LET(
  _xlpm.parts, _xlfn.TEXTSPLIT(G38, " "),
  _xlpm.count, COUNTA(_xlpm.parts),
  _xlpm.sum, SUM(--HEX2DEC(INDEX(_xlpm.parts, _xlfn.SEQUENCE(_xlpm.count - 1)))),
  "Dec: " &amp; _xlpm.sum &amp; " | Hex: " &amp; DEC2HEX(_xlpm.sum)
)</f>
        <v>Dec: 1258 | Hex: 4EA</v>
      </c>
      <c r="I38" s="2" t="str">
        <f t="shared" si="3"/>
        <v>DE</v>
      </c>
      <c r="J38" s="2" t="b">
        <f t="shared" si="4"/>
        <v>1</v>
      </c>
      <c r="K38" s="5" t="str" cm="1">
        <f t="array" ref="K38:AK38">_xlfn.TEXTSPLIT(G38, " ")</f>
        <v>02</v>
      </c>
      <c r="L38" s="5" t="str">
        <v>20</v>
      </c>
      <c r="M38" s="5" t="str">
        <v>e0</v>
      </c>
      <c r="N38" s="5" t="str">
        <v>04</v>
      </c>
      <c r="O38" s="5" t="str">
        <v>00</v>
      </c>
      <c r="P38" s="5" t="str">
        <v>00</v>
      </c>
      <c r="Q38" s="5" t="str">
        <v>00</v>
      </c>
      <c r="R38" s="5" t="str">
        <v>06</v>
      </c>
      <c r="S38" s="5" t="str">
        <v>02</v>
      </c>
      <c r="T38" s="5" t="str">
        <v>20</v>
      </c>
      <c r="U38" s="5" t="str">
        <v>e0</v>
      </c>
      <c r="V38" s="5" t="str">
        <v>04</v>
      </c>
      <c r="W38" s="5" t="str">
        <v>00</v>
      </c>
      <c r="X38" s="5" t="str">
        <v>39</v>
      </c>
      <c r="Y38" s="5" t="str">
        <v>3c</v>
      </c>
      <c r="Z38" s="5" t="str">
        <v>80</v>
      </c>
      <c r="AA38" s="8" t="str">
        <v>5f</v>
      </c>
      <c r="AB38" s="5" t="str">
        <v>0d</v>
      </c>
      <c r="AC38" s="5" t="str">
        <v>00</v>
      </c>
      <c r="AD38" s="5" t="str">
        <v>0e</v>
      </c>
      <c r="AE38" s="5" t="str">
        <v>e0</v>
      </c>
      <c r="AF38" s="5" t="str">
        <v>00</v>
      </c>
      <c r="AG38" s="5" t="str">
        <v>00</v>
      </c>
      <c r="AH38" s="5" t="str">
        <v>89</v>
      </c>
      <c r="AI38" s="5" t="str">
        <v>00</v>
      </c>
      <c r="AJ38" s="5" t="str">
        <v>00</v>
      </c>
      <c r="AK38" s="5" t="str">
        <v>de</v>
      </c>
    </row>
    <row r="39" spans="1:37" ht="22" customHeight="1" x14ac:dyDescent="0.3">
      <c r="A39" s="2" t="s">
        <v>1</v>
      </c>
      <c r="B39" s="2">
        <v>4</v>
      </c>
      <c r="C39" s="2">
        <v>30</v>
      </c>
      <c r="D39" s="2" t="s">
        <v>3</v>
      </c>
      <c r="E39" s="2" t="s">
        <v>3</v>
      </c>
      <c r="G39" s="9" t="s">
        <v>343</v>
      </c>
      <c r="H39" s="2" t="str" cm="1">
        <f t="array" ref="H39">_xlfn.LET(
  _xlpm.parts, _xlfn.TEXTSPLIT(G39, " "),
  _xlpm.count, COUNTA(_xlpm.parts),
  _xlpm.sum, SUM(--HEX2DEC(INDEX(_xlpm.parts, _xlfn.SEQUENCE(_xlpm.count - 1)))),
  "Dec: " &amp; _xlpm.sum &amp; " | Hex: " &amp; DEC2HEX(_xlpm.sum)
)</f>
        <v>Dec: 1274 | Hex: 4FA</v>
      </c>
      <c r="I39" s="2" t="str">
        <f t="shared" si="3"/>
        <v>EE</v>
      </c>
      <c r="J39" s="2" t="b">
        <f t="shared" si="4"/>
        <v>1</v>
      </c>
      <c r="K39" s="5" t="str" cm="1">
        <f t="array" ref="K39:AK39">_xlfn.TEXTSPLIT(G39, " ")</f>
        <v>02</v>
      </c>
      <c r="L39" s="5" t="str">
        <v>20</v>
      </c>
      <c r="M39" s="5" t="str">
        <v>e0</v>
      </c>
      <c r="N39" s="5" t="str">
        <v>04</v>
      </c>
      <c r="O39" s="5" t="str">
        <v>00</v>
      </c>
      <c r="P39" s="5" t="str">
        <v>00</v>
      </c>
      <c r="Q39" s="5" t="str">
        <v>00</v>
      </c>
      <c r="R39" s="5" t="str">
        <v>06</v>
      </c>
      <c r="S39" s="5" t="str">
        <v>02</v>
      </c>
      <c r="T39" s="5" t="str">
        <v>20</v>
      </c>
      <c r="U39" s="5" t="str">
        <v>e0</v>
      </c>
      <c r="V39" s="5" t="str">
        <v>04</v>
      </c>
      <c r="W39" s="5" t="str">
        <v>00</v>
      </c>
      <c r="X39" s="5" t="str">
        <v>39</v>
      </c>
      <c r="Y39" s="5" t="str">
        <v>3c</v>
      </c>
      <c r="Z39" s="5" t="str">
        <v>80</v>
      </c>
      <c r="AA39" s="8" t="str">
        <v>6f</v>
      </c>
      <c r="AB39" s="5" t="str">
        <v>0d</v>
      </c>
      <c r="AC39" s="5" t="str">
        <v>00</v>
      </c>
      <c r="AD39" s="5" t="str">
        <v>0e</v>
      </c>
      <c r="AE39" s="5" t="str">
        <v>e0</v>
      </c>
      <c r="AF39" s="5" t="str">
        <v>00</v>
      </c>
      <c r="AG39" s="5" t="str">
        <v>00</v>
      </c>
      <c r="AH39" s="5" t="str">
        <v>89</v>
      </c>
      <c r="AI39" s="5" t="str">
        <v>00</v>
      </c>
      <c r="AJ39" s="5" t="str">
        <v>00</v>
      </c>
      <c r="AK39" s="5" t="str">
        <v>ee</v>
      </c>
    </row>
    <row r="40" spans="1:37" ht="22" customHeight="1" x14ac:dyDescent="0.3">
      <c r="A40" s="2" t="s">
        <v>1</v>
      </c>
      <c r="B40" s="2">
        <v>5</v>
      </c>
      <c r="C40" s="2">
        <v>30</v>
      </c>
      <c r="D40" s="2" t="s">
        <v>3</v>
      </c>
      <c r="E40" s="2" t="s">
        <v>3</v>
      </c>
      <c r="F40" s="6" t="s">
        <v>308</v>
      </c>
      <c r="G40" s="5" t="s">
        <v>309</v>
      </c>
      <c r="H40" s="2" t="str" cm="1">
        <f t="array" ref="H40">_xlfn.LET(
  _xlpm.parts, _xlfn.TEXTSPLIT(G40, " "),
  _xlpm.count, COUNTA(_xlpm.parts),
  _xlpm.sum, SUM(--HEX2DEC(INDEX(_xlpm.parts, _xlfn.SEQUENCE(_xlpm.count - 1)))),
  "Dec: " &amp; _xlpm.sum &amp; " | Hex: " &amp; DEC2HEX(_xlpm.sum)
)</f>
        <v>Dec: 1290 | Hex: 50A</v>
      </c>
      <c r="I40" s="2" t="str">
        <f t="shared" si="3"/>
        <v>FE</v>
      </c>
      <c r="J40" s="2" t="b">
        <f t="shared" si="4"/>
        <v>1</v>
      </c>
      <c r="K40" s="5" t="str" cm="1">
        <f t="array" ref="K40:AK40">_xlfn.TEXTSPLIT(G40, " ")</f>
        <v>02</v>
      </c>
      <c r="L40" s="5" t="str">
        <v>20</v>
      </c>
      <c r="M40" s="5" t="str">
        <v>e0</v>
      </c>
      <c r="N40" s="5" t="str">
        <v>04</v>
      </c>
      <c r="O40" s="5" t="str">
        <v>00</v>
      </c>
      <c r="P40" s="5" t="str">
        <v>00</v>
      </c>
      <c r="Q40" s="5" t="str">
        <v>00</v>
      </c>
      <c r="R40" s="5" t="str">
        <v>06</v>
      </c>
      <c r="S40" s="5" t="str">
        <v>02</v>
      </c>
      <c r="T40" s="5" t="str">
        <v>20</v>
      </c>
      <c r="U40" s="5" t="str">
        <v>e0</v>
      </c>
      <c r="V40" s="5" t="str">
        <v>04</v>
      </c>
      <c r="W40" s="5" t="str">
        <v>00</v>
      </c>
      <c r="X40" s="5" t="str">
        <v>39</v>
      </c>
      <c r="Y40" s="5" t="str">
        <v>3c</v>
      </c>
      <c r="Z40" s="5" t="str">
        <v>80</v>
      </c>
      <c r="AA40" s="8" t="str">
        <v>7f</v>
      </c>
      <c r="AB40" s="5" t="str">
        <v>0d</v>
      </c>
      <c r="AC40" s="5" t="str">
        <v>00</v>
      </c>
      <c r="AD40" s="5" t="str">
        <v>0e</v>
      </c>
      <c r="AE40" s="5" t="str">
        <v>e0</v>
      </c>
      <c r="AF40" s="5" t="str">
        <v>00</v>
      </c>
      <c r="AG40" s="5" t="str">
        <v>00</v>
      </c>
      <c r="AH40" s="5" t="str">
        <v>89</v>
      </c>
      <c r="AI40" s="5" t="str">
        <v>00</v>
      </c>
      <c r="AJ40" s="5" t="str">
        <v>00</v>
      </c>
      <c r="AK40" s="5" t="str">
        <v>fe</v>
      </c>
    </row>
    <row r="41" spans="1:37" ht="22" customHeight="1" x14ac:dyDescent="0.3">
      <c r="A41" s="2"/>
      <c r="B41" s="2"/>
      <c r="C41" s="2"/>
      <c r="D41" s="2"/>
      <c r="E41" s="2"/>
      <c r="H41" s="2"/>
      <c r="I41" s="2"/>
      <c r="J41" s="2"/>
    </row>
    <row r="42" spans="1:37" ht="22" customHeight="1" x14ac:dyDescent="0.3">
      <c r="A42" s="2" t="s">
        <v>1</v>
      </c>
      <c r="B42" s="2" t="s">
        <v>8</v>
      </c>
      <c r="C42" s="2">
        <v>30</v>
      </c>
      <c r="D42" s="2" t="s">
        <v>3</v>
      </c>
      <c r="E42" s="2" t="s">
        <v>3</v>
      </c>
      <c r="F42" s="6" t="s">
        <v>310</v>
      </c>
      <c r="G42" s="5" t="s">
        <v>311</v>
      </c>
      <c r="H42" s="2" t="str" cm="1">
        <f t="array" ref="H42">_xlfn.LET(
  _xlpm.parts, _xlfn.TEXTSPLIT(G42, " "),
  _xlpm.count, COUNTA(_xlpm.parts),
  _xlpm.sum, SUM(--HEX2DEC(INDEX(_xlpm.parts, _xlfn.SEQUENCE(_xlpm.count - 1)))),
  "Dec: " &amp; _xlpm.sum &amp; " | Hex: " &amp; DEC2HEX(_xlpm.sum)
)</f>
        <v>Dec: 1339 | Hex: 53B</v>
      </c>
      <c r="I42" s="2" t="str">
        <f t="shared" ref="I42:I43" si="5">DEC2HEX(MOD(VALUE(MID(H42, 6, FIND("|", H42)-7)) - 12, 256), 2)</f>
        <v>2F</v>
      </c>
      <c r="J42" s="2" t="b">
        <f t="shared" ref="J42:J43" si="6">I42=AK42</f>
        <v>1</v>
      </c>
      <c r="K42" s="5" t="str" cm="1">
        <f t="array" ref="K42:AK42">_xlfn.TEXTSPLIT(G42, " ")</f>
        <v>02</v>
      </c>
      <c r="L42" s="5" t="str">
        <v>20</v>
      </c>
      <c r="M42" s="5" t="str">
        <v>e0</v>
      </c>
      <c r="N42" s="5" t="str">
        <v>04</v>
      </c>
      <c r="O42" s="5" t="str">
        <v>00</v>
      </c>
      <c r="P42" s="5" t="str">
        <v>00</v>
      </c>
      <c r="Q42" s="5" t="str">
        <v>00</v>
      </c>
      <c r="R42" s="5" t="str">
        <v>06</v>
      </c>
      <c r="S42" s="5" t="str">
        <v>02</v>
      </c>
      <c r="T42" s="5" t="str">
        <v>20</v>
      </c>
      <c r="U42" s="5" t="str">
        <v>e0</v>
      </c>
      <c r="V42" s="5" t="str">
        <v>04</v>
      </c>
      <c r="W42" s="5" t="str">
        <v>00</v>
      </c>
      <c r="X42" s="5" t="str">
        <v>39</v>
      </c>
      <c r="Y42" s="5" t="str">
        <v>3c</v>
      </c>
      <c r="Z42" s="5" t="str">
        <v>80</v>
      </c>
      <c r="AA42" s="5" t="str">
        <v>af</v>
      </c>
      <c r="AB42" s="5" t="str">
        <v>0d</v>
      </c>
      <c r="AC42" s="5" t="str">
        <v>00</v>
      </c>
      <c r="AD42" s="5" t="str">
        <v>0e</v>
      </c>
      <c r="AE42" s="5" t="str">
        <v>e0</v>
      </c>
      <c r="AF42" s="8" t="str">
        <v>01</v>
      </c>
      <c r="AG42" s="5" t="str">
        <v>00</v>
      </c>
      <c r="AH42" s="5" t="str">
        <v>89</v>
      </c>
      <c r="AI42" s="5" t="str">
        <v>00</v>
      </c>
      <c r="AJ42" s="5" t="str">
        <v>00</v>
      </c>
      <c r="AK42" s="5" t="str">
        <v>2f</v>
      </c>
    </row>
    <row r="43" spans="1:37" ht="22" customHeight="1" x14ac:dyDescent="0.3">
      <c r="A43" s="2" t="s">
        <v>1</v>
      </c>
      <c r="B43" s="2" t="s">
        <v>405</v>
      </c>
      <c r="C43" s="2">
        <v>30</v>
      </c>
      <c r="D43" s="2" t="s">
        <v>3</v>
      </c>
      <c r="E43" s="2" t="s">
        <v>3</v>
      </c>
      <c r="F43" s="6" t="s">
        <v>312</v>
      </c>
      <c r="G43" s="5" t="s">
        <v>313</v>
      </c>
      <c r="H43" s="2" t="str" cm="1">
        <f t="array" ref="H43">_xlfn.LET(
  _xlpm.parts, _xlfn.TEXTSPLIT(G43, " "),
  _xlpm.count, COUNTA(_xlpm.parts),
  _xlpm.sum, SUM(--HEX2DEC(INDEX(_xlpm.parts, _xlfn.SEQUENCE(_xlpm.count - 1)))),
  "Dec: " &amp; _xlpm.sum &amp; " | Hex: " &amp; DEC2HEX(_xlpm.sum)
)</f>
        <v>Dec: 1370 | Hex: 55A</v>
      </c>
      <c r="I43" s="2" t="str">
        <f t="shared" si="5"/>
        <v>4E</v>
      </c>
      <c r="J43" s="2" t="b">
        <f t="shared" si="6"/>
        <v>1</v>
      </c>
      <c r="K43" s="5" t="str" cm="1">
        <f t="array" ref="K43:AK43">_xlfn.TEXTSPLIT(G43, " ")</f>
        <v>02</v>
      </c>
      <c r="L43" s="5" t="str">
        <v>20</v>
      </c>
      <c r="M43" s="5" t="str">
        <v>e0</v>
      </c>
      <c r="N43" s="5" t="str">
        <v>04</v>
      </c>
      <c r="O43" s="5" t="str">
        <v>00</v>
      </c>
      <c r="P43" s="5" t="str">
        <v>00</v>
      </c>
      <c r="Q43" s="5" t="str">
        <v>00</v>
      </c>
      <c r="R43" s="5" t="str">
        <v>06</v>
      </c>
      <c r="S43" s="5" t="str">
        <v>02</v>
      </c>
      <c r="T43" s="5" t="str">
        <v>20</v>
      </c>
      <c r="U43" s="5" t="str">
        <v>e0</v>
      </c>
      <c r="V43" s="5" t="str">
        <v>04</v>
      </c>
      <c r="W43" s="5" t="str">
        <v>00</v>
      </c>
      <c r="X43" s="5" t="str">
        <v>39</v>
      </c>
      <c r="Y43" s="5" t="str">
        <v>3c</v>
      </c>
      <c r="Z43" s="5" t="str">
        <v>80</v>
      </c>
      <c r="AA43" s="5" t="str">
        <v>af</v>
      </c>
      <c r="AB43" s="5" t="str">
        <v>0d</v>
      </c>
      <c r="AC43" s="5" t="str">
        <v>00</v>
      </c>
      <c r="AD43" s="5" t="str">
        <v>0e</v>
      </c>
      <c r="AE43" s="5" t="str">
        <v>e0</v>
      </c>
      <c r="AF43" s="8" t="str">
        <v>20</v>
      </c>
      <c r="AG43" s="5" t="str">
        <v>00</v>
      </c>
      <c r="AH43" s="5" t="str">
        <v>89</v>
      </c>
      <c r="AI43" s="5" t="str">
        <v>00</v>
      </c>
      <c r="AJ43" s="5" t="str">
        <v>00</v>
      </c>
      <c r="AK43" s="5" t="str">
        <v>4e</v>
      </c>
    </row>
    <row r="44" spans="1:37" ht="22" customHeight="1" x14ac:dyDescent="0.3">
      <c r="A44" s="2"/>
      <c r="B44" s="2"/>
      <c r="C44" s="2"/>
      <c r="D44" s="2"/>
      <c r="E44" s="2"/>
      <c r="H44" s="2"/>
      <c r="I44" s="2"/>
      <c r="J44" s="2"/>
    </row>
    <row r="45" spans="1:37" ht="22" customHeight="1" x14ac:dyDescent="0.3">
      <c r="A45" s="2" t="s">
        <v>10</v>
      </c>
      <c r="B45" s="2" t="s">
        <v>5</v>
      </c>
      <c r="C45" s="2">
        <v>30</v>
      </c>
      <c r="D45" s="2" t="s">
        <v>3</v>
      </c>
      <c r="E45" s="2" t="s">
        <v>3</v>
      </c>
      <c r="F45" s="6" t="s">
        <v>305</v>
      </c>
      <c r="G45" s="5" t="s">
        <v>306</v>
      </c>
      <c r="H45" s="2" t="str" cm="1">
        <f t="array" ref="H45">_xlfn.LET(
  _xlpm.parts, _xlfn.TEXTSPLIT(G45, " "),
  _xlpm.count, COUNTA(_xlpm.parts),
  _xlpm.sum, SUM(--HEX2DEC(INDEX(_xlpm.parts, _xlfn.SEQUENCE(_xlpm.count - 1)))),
  "Dec: " &amp; _xlpm.sum &amp; " | Hex: " &amp; DEC2HEX(_xlpm.sum)
)</f>
        <v>Dec: 1338 | Hex: 53A</v>
      </c>
      <c r="I45" s="2" t="str">
        <f t="shared" ref="I45:I50" si="7">DEC2HEX(MOD(VALUE(MID(H45, 6, FIND("|", H45)-7)) - 12, 256), 2)</f>
        <v>2E</v>
      </c>
      <c r="J45" s="2" t="b">
        <f t="shared" ref="J45:J50" si="8">I45=AK45</f>
        <v>1</v>
      </c>
      <c r="K45" s="5" t="str" cm="1">
        <f t="array" ref="K45:AK45">_xlfn.TEXTSPLIT(G45, " ")</f>
        <v>02</v>
      </c>
      <c r="L45" s="5" t="str">
        <v>20</v>
      </c>
      <c r="M45" s="5" t="str">
        <v>e0</v>
      </c>
      <c r="N45" s="5" t="str">
        <v>04</v>
      </c>
      <c r="O45" s="5" t="str">
        <v>00</v>
      </c>
      <c r="P45" s="5" t="str">
        <v>00</v>
      </c>
      <c r="Q45" s="5" t="str">
        <v>00</v>
      </c>
      <c r="R45" s="5" t="str">
        <v>06</v>
      </c>
      <c r="S45" s="5" t="str">
        <v>02</v>
      </c>
      <c r="T45" s="5" t="str">
        <v>20</v>
      </c>
      <c r="U45" s="5" t="str">
        <v>e0</v>
      </c>
      <c r="V45" s="5" t="str">
        <v>04</v>
      </c>
      <c r="W45" s="5" t="str">
        <v>00</v>
      </c>
      <c r="X45" s="5" t="str">
        <v>39</v>
      </c>
      <c r="Y45" s="5" t="str">
        <v>3c</v>
      </c>
      <c r="Z45" s="5" t="str">
        <v>80</v>
      </c>
      <c r="AA45" s="5" t="str">
        <v>af</v>
      </c>
      <c r="AB45" s="8" t="str">
        <v>0d</v>
      </c>
      <c r="AC45" s="5" t="str">
        <v>00</v>
      </c>
      <c r="AD45" s="5" t="str">
        <v>0e</v>
      </c>
      <c r="AE45" s="5" t="str">
        <v>e0</v>
      </c>
      <c r="AF45" s="5" t="str">
        <v>00</v>
      </c>
      <c r="AG45" s="5" t="str">
        <v>00</v>
      </c>
      <c r="AH45" s="5" t="str">
        <v>89</v>
      </c>
      <c r="AI45" s="5" t="str">
        <v>00</v>
      </c>
      <c r="AJ45" s="5" t="str">
        <v>00</v>
      </c>
      <c r="AK45" s="5" t="str">
        <v>2e</v>
      </c>
    </row>
    <row r="46" spans="1:37" ht="22" customHeight="1" x14ac:dyDescent="0.3">
      <c r="A46" s="2" t="s">
        <v>10</v>
      </c>
      <c r="B46" s="2" t="s">
        <v>5</v>
      </c>
      <c r="C46" s="2">
        <v>30</v>
      </c>
      <c r="D46" s="2">
        <v>1</v>
      </c>
      <c r="E46" s="2" t="s">
        <v>3</v>
      </c>
      <c r="F46" s="6" t="s">
        <v>314</v>
      </c>
      <c r="G46" s="5" t="s">
        <v>344</v>
      </c>
      <c r="H46" s="2" t="str" cm="1">
        <f t="array" ref="H46">_xlfn.LET(
  _xlpm.parts, _xlfn.TEXTSPLIT(G46, " "),
  _xlpm.count, COUNTA(_xlpm.parts),
  _xlpm.sum, SUM(--HEX2DEC(INDEX(_xlpm.parts, _xlfn.SEQUENCE(_xlpm.count - 1)))),
  "Dec: " &amp; _xlpm.sum &amp; " | Hex: " &amp; DEC2HEX(_xlpm.sum)
)</f>
        <v>Dec: 1331 | Hex: 533</v>
      </c>
      <c r="I46" s="2" t="str">
        <f t="shared" si="7"/>
        <v>27</v>
      </c>
      <c r="J46" s="2" t="b">
        <f t="shared" si="8"/>
        <v>1</v>
      </c>
      <c r="K46" s="5" t="str" cm="1">
        <f t="array" ref="K46:AK46">_xlfn.TEXTSPLIT(G46, " ")</f>
        <v>02</v>
      </c>
      <c r="L46" s="5" t="str">
        <v>20</v>
      </c>
      <c r="M46" s="5" t="str">
        <v>e0</v>
      </c>
      <c r="N46" s="5" t="str">
        <v>04</v>
      </c>
      <c r="O46" s="5" t="str">
        <v>00</v>
      </c>
      <c r="P46" s="5" t="str">
        <v>00</v>
      </c>
      <c r="Q46" s="5" t="str">
        <v>00</v>
      </c>
      <c r="R46" s="5" t="str">
        <v>06</v>
      </c>
      <c r="S46" s="5" t="str">
        <v>02</v>
      </c>
      <c r="T46" s="5" t="str">
        <v>20</v>
      </c>
      <c r="U46" s="5" t="str">
        <v>e0</v>
      </c>
      <c r="V46" s="5" t="str">
        <v>04</v>
      </c>
      <c r="W46" s="5" t="str">
        <v>00</v>
      </c>
      <c r="X46" s="5" t="str">
        <v>39</v>
      </c>
      <c r="Y46" s="5" t="str">
        <v>3c</v>
      </c>
      <c r="Z46" s="5" t="str">
        <v>80</v>
      </c>
      <c r="AA46" s="5" t="str">
        <v>af</v>
      </c>
      <c r="AB46" s="8" t="str">
        <v>06</v>
      </c>
      <c r="AC46" s="5" t="str">
        <v>00</v>
      </c>
      <c r="AD46" s="5" t="str">
        <v>0e</v>
      </c>
      <c r="AE46" s="5" t="str">
        <v>e0</v>
      </c>
      <c r="AF46" s="5" t="str">
        <v>00</v>
      </c>
      <c r="AG46" s="5" t="str">
        <v>00</v>
      </c>
      <c r="AH46" s="5" t="str">
        <v>89</v>
      </c>
      <c r="AI46" s="5" t="str">
        <v>00</v>
      </c>
      <c r="AJ46" s="5" t="str">
        <v>00</v>
      </c>
      <c r="AK46" s="5" t="str">
        <v>27</v>
      </c>
    </row>
    <row r="47" spans="1:37" ht="22" customHeight="1" x14ac:dyDescent="0.3">
      <c r="A47" s="2" t="s">
        <v>10</v>
      </c>
      <c r="B47" s="2" t="s">
        <v>5</v>
      </c>
      <c r="C47" s="2">
        <v>30</v>
      </c>
      <c r="D47" s="2">
        <v>2</v>
      </c>
      <c r="E47" s="2" t="s">
        <v>3</v>
      </c>
      <c r="G47" s="5" t="s">
        <v>345</v>
      </c>
      <c r="H47" s="2" t="str" cm="1">
        <f t="array" ref="H47">_xlfn.LET(
  _xlpm.parts, _xlfn.TEXTSPLIT(G47, " "),
  _xlpm.count, COUNTA(_xlpm.parts),
  _xlpm.sum, SUM(--HEX2DEC(INDEX(_xlpm.parts, _xlfn.SEQUENCE(_xlpm.count - 1)))),
  "Dec: " &amp; _xlpm.sum &amp; " | Hex: " &amp; DEC2HEX(_xlpm.sum)
)</f>
        <v>Dec: 1334 | Hex: 536</v>
      </c>
      <c r="I47" s="2" t="str">
        <f t="shared" si="7"/>
        <v>2A</v>
      </c>
      <c r="J47" s="2" t="b">
        <f t="shared" si="8"/>
        <v>1</v>
      </c>
      <c r="K47" s="5" t="str" cm="1">
        <f t="array" ref="K47:AK47">_xlfn.TEXTSPLIT(G47, " ")</f>
        <v>02</v>
      </c>
      <c r="L47" s="5" t="str">
        <v>20</v>
      </c>
      <c r="M47" s="5" t="str">
        <v>e0</v>
      </c>
      <c r="N47" s="5" t="str">
        <v>04</v>
      </c>
      <c r="O47" s="5" t="str">
        <v>00</v>
      </c>
      <c r="P47" s="5" t="str">
        <v>00</v>
      </c>
      <c r="Q47" s="5" t="str">
        <v>00</v>
      </c>
      <c r="R47" s="5" t="str">
        <v>06</v>
      </c>
      <c r="S47" s="5" t="str">
        <v>02</v>
      </c>
      <c r="T47" s="5" t="str">
        <v>20</v>
      </c>
      <c r="U47" s="5" t="str">
        <v>e0</v>
      </c>
      <c r="V47" s="5" t="str">
        <v>04</v>
      </c>
      <c r="W47" s="5" t="str">
        <v>00</v>
      </c>
      <c r="X47" s="5" t="str">
        <v>39</v>
      </c>
      <c r="Y47" s="5" t="str">
        <v>3c</v>
      </c>
      <c r="Z47" s="5" t="str">
        <v>80</v>
      </c>
      <c r="AA47" s="5" t="str">
        <v>af</v>
      </c>
      <c r="AB47" s="8" t="str">
        <v>09</v>
      </c>
      <c r="AC47" s="5" t="str">
        <v>00</v>
      </c>
      <c r="AD47" s="5" t="str">
        <v>0e</v>
      </c>
      <c r="AE47" s="5" t="str">
        <v>e0</v>
      </c>
      <c r="AF47" s="5" t="str">
        <v>00</v>
      </c>
      <c r="AG47" s="5" t="str">
        <v>00</v>
      </c>
      <c r="AH47" s="5" t="str">
        <v>89</v>
      </c>
      <c r="AI47" s="5" t="str">
        <v>00</v>
      </c>
      <c r="AJ47" s="5" t="str">
        <v>00</v>
      </c>
      <c r="AK47" s="5" t="str">
        <v>2a</v>
      </c>
    </row>
    <row r="48" spans="1:37" ht="22" customHeight="1" x14ac:dyDescent="0.3">
      <c r="A48" s="2" t="s">
        <v>10</v>
      </c>
      <c r="B48" s="2" t="s">
        <v>5</v>
      </c>
      <c r="C48" s="2">
        <v>30</v>
      </c>
      <c r="D48" s="2">
        <v>3</v>
      </c>
      <c r="E48" s="2" t="s">
        <v>3</v>
      </c>
      <c r="G48" s="5" t="s">
        <v>346</v>
      </c>
      <c r="H48" s="2" t="str" cm="1">
        <f t="array" ref="H48">_xlfn.LET(
  _xlpm.parts, _xlfn.TEXTSPLIT(G48, " "),
  _xlpm.count, COUNTA(_xlpm.parts),
  _xlpm.sum, SUM(--HEX2DEC(INDEX(_xlpm.parts, _xlfn.SEQUENCE(_xlpm.count - 1)))),
  "Dec: " &amp; _xlpm.sum &amp; " | Hex: " &amp; DEC2HEX(_xlpm.sum)
)</f>
        <v>Dec: 1335 | Hex: 537</v>
      </c>
      <c r="I48" s="2" t="str">
        <f t="shared" si="7"/>
        <v>2B</v>
      </c>
      <c r="J48" s="2" t="b">
        <f t="shared" si="8"/>
        <v>1</v>
      </c>
      <c r="K48" s="5" t="str" cm="1">
        <f t="array" ref="K48:AK48">_xlfn.TEXTSPLIT(G48, " ")</f>
        <v>02</v>
      </c>
      <c r="L48" s="5" t="str">
        <v>20</v>
      </c>
      <c r="M48" s="5" t="str">
        <v>e0</v>
      </c>
      <c r="N48" s="5" t="str">
        <v>04</v>
      </c>
      <c r="O48" s="5" t="str">
        <v>00</v>
      </c>
      <c r="P48" s="5" t="str">
        <v>00</v>
      </c>
      <c r="Q48" s="5" t="str">
        <v>00</v>
      </c>
      <c r="R48" s="5" t="str">
        <v>06</v>
      </c>
      <c r="S48" s="5" t="str">
        <v>02</v>
      </c>
      <c r="T48" s="5" t="str">
        <v>20</v>
      </c>
      <c r="U48" s="5" t="str">
        <v>e0</v>
      </c>
      <c r="V48" s="5" t="str">
        <v>04</v>
      </c>
      <c r="W48" s="5" t="str">
        <v>00</v>
      </c>
      <c r="X48" s="5" t="str">
        <v>39</v>
      </c>
      <c r="Y48" s="5" t="str">
        <v>3c</v>
      </c>
      <c r="Z48" s="5" t="str">
        <v>80</v>
      </c>
      <c r="AA48" s="5" t="str">
        <v>af</v>
      </c>
      <c r="AB48" s="8" t="str">
        <v>0a</v>
      </c>
      <c r="AC48" s="5" t="str">
        <v>00</v>
      </c>
      <c r="AD48" s="5" t="str">
        <v>0e</v>
      </c>
      <c r="AE48" s="5" t="str">
        <v>e0</v>
      </c>
      <c r="AF48" s="5" t="str">
        <v>00</v>
      </c>
      <c r="AG48" s="5" t="str">
        <v>00</v>
      </c>
      <c r="AH48" s="5" t="str">
        <v>89</v>
      </c>
      <c r="AI48" s="5" t="str">
        <v>00</v>
      </c>
      <c r="AJ48" s="5" t="str">
        <v>00</v>
      </c>
      <c r="AK48" s="5" t="str">
        <v>2b</v>
      </c>
    </row>
    <row r="49" spans="1:37" ht="22" customHeight="1" x14ac:dyDescent="0.3">
      <c r="A49" s="2" t="s">
        <v>10</v>
      </c>
      <c r="B49" s="2" t="s">
        <v>5</v>
      </c>
      <c r="C49" s="2">
        <v>30</v>
      </c>
      <c r="D49" s="2">
        <v>4</v>
      </c>
      <c r="E49" s="2" t="s">
        <v>3</v>
      </c>
      <c r="G49" s="9" t="s">
        <v>347</v>
      </c>
      <c r="H49" s="2" t="str" cm="1">
        <f t="array" ref="H49">_xlfn.LET(
  _xlpm.parts, _xlfn.TEXTSPLIT(G49, " "),
  _xlpm.count, COUNTA(_xlpm.parts),
  _xlpm.sum, SUM(--HEX2DEC(INDEX(_xlpm.parts, _xlfn.SEQUENCE(_xlpm.count - 1)))),
  "Dec: " &amp; _xlpm.sum &amp; " | Hex: " &amp; DEC2HEX(_xlpm.sum)
)</f>
        <v>Dec: 1336 | Hex: 538</v>
      </c>
      <c r="I49" s="2" t="str">
        <f t="shared" si="7"/>
        <v>2C</v>
      </c>
      <c r="J49" s="2" t="b">
        <f t="shared" si="8"/>
        <v>1</v>
      </c>
      <c r="K49" s="5" t="str" cm="1">
        <f t="array" ref="K49:AK49">_xlfn.TEXTSPLIT(G49, " ")</f>
        <v>02</v>
      </c>
      <c r="L49" s="5" t="str">
        <v>20</v>
      </c>
      <c r="M49" s="5" t="str">
        <v>e0</v>
      </c>
      <c r="N49" s="5" t="str">
        <v>04</v>
      </c>
      <c r="O49" s="5" t="str">
        <v>00</v>
      </c>
      <c r="P49" s="5" t="str">
        <v>00</v>
      </c>
      <c r="Q49" s="5" t="str">
        <v>00</v>
      </c>
      <c r="R49" s="5" t="str">
        <v>06</v>
      </c>
      <c r="S49" s="5" t="str">
        <v>02</v>
      </c>
      <c r="T49" s="5" t="str">
        <v>20</v>
      </c>
      <c r="U49" s="5" t="str">
        <v>e0</v>
      </c>
      <c r="V49" s="5" t="str">
        <v>04</v>
      </c>
      <c r="W49" s="5" t="str">
        <v>00</v>
      </c>
      <c r="X49" s="5" t="str">
        <v>39</v>
      </c>
      <c r="Y49" s="5" t="str">
        <v>3c</v>
      </c>
      <c r="Z49" s="5" t="str">
        <v>80</v>
      </c>
      <c r="AA49" s="5" t="str">
        <v>af</v>
      </c>
      <c r="AB49" s="8" t="str">
        <v>0b</v>
      </c>
      <c r="AC49" s="5" t="str">
        <v>00</v>
      </c>
      <c r="AD49" s="5" t="str">
        <v>0e</v>
      </c>
      <c r="AE49" s="5" t="str">
        <v>e0</v>
      </c>
      <c r="AF49" s="5" t="str">
        <v>00</v>
      </c>
      <c r="AG49" s="5" t="str">
        <v>00</v>
      </c>
      <c r="AH49" s="5" t="str">
        <v>89</v>
      </c>
      <c r="AI49" s="5" t="str">
        <v>00</v>
      </c>
      <c r="AJ49" s="5" t="str">
        <v>00</v>
      </c>
      <c r="AK49" s="5" t="str">
        <v>2c</v>
      </c>
    </row>
    <row r="50" spans="1:37" ht="22" customHeight="1" x14ac:dyDescent="0.3">
      <c r="A50" s="2" t="s">
        <v>10</v>
      </c>
      <c r="B50" s="2" t="s">
        <v>5</v>
      </c>
      <c r="C50" s="2">
        <v>30</v>
      </c>
      <c r="D50" s="2">
        <v>5</v>
      </c>
      <c r="E50" s="2" t="s">
        <v>3</v>
      </c>
      <c r="F50" s="6" t="s">
        <v>315</v>
      </c>
      <c r="G50" s="5" t="s">
        <v>348</v>
      </c>
      <c r="H50" s="2" t="str" cm="1">
        <f t="array" ref="H50">_xlfn.LET(
  _xlpm.parts, _xlfn.TEXTSPLIT(G50, " "),
  _xlpm.count, COUNTA(_xlpm.parts),
  _xlpm.sum, SUM(--HEX2DEC(INDEX(_xlpm.parts, _xlfn.SEQUENCE(_xlpm.count - 1)))),
  "Dec: " &amp; _xlpm.sum &amp; " | Hex: " &amp; DEC2HEX(_xlpm.sum)
)</f>
        <v>Dec: 1337 | Hex: 539</v>
      </c>
      <c r="I50" s="2" t="str">
        <f t="shared" si="7"/>
        <v>2D</v>
      </c>
      <c r="J50" s="2" t="b">
        <f t="shared" si="8"/>
        <v>1</v>
      </c>
      <c r="K50" s="5" t="str" cm="1">
        <f t="array" ref="K50:AK50">_xlfn.TEXTSPLIT(G50, " ")</f>
        <v>02</v>
      </c>
      <c r="L50" s="5" t="str">
        <v>20</v>
      </c>
      <c r="M50" s="5" t="str">
        <v>e0</v>
      </c>
      <c r="N50" s="5" t="str">
        <v>04</v>
      </c>
      <c r="O50" s="5" t="str">
        <v>00</v>
      </c>
      <c r="P50" s="5" t="str">
        <v>00</v>
      </c>
      <c r="Q50" s="5" t="str">
        <v>00</v>
      </c>
      <c r="R50" s="5" t="str">
        <v>06</v>
      </c>
      <c r="S50" s="5" t="str">
        <v>02</v>
      </c>
      <c r="T50" s="5" t="str">
        <v>20</v>
      </c>
      <c r="U50" s="5" t="str">
        <v>e0</v>
      </c>
      <c r="V50" s="5" t="str">
        <v>04</v>
      </c>
      <c r="W50" s="5" t="str">
        <v>00</v>
      </c>
      <c r="X50" s="5" t="str">
        <v>39</v>
      </c>
      <c r="Y50" s="5" t="str">
        <v>3c</v>
      </c>
      <c r="Z50" s="5" t="str">
        <v>80</v>
      </c>
      <c r="AA50" s="5" t="str">
        <v>af</v>
      </c>
      <c r="AB50" s="8" t="str">
        <v>0c</v>
      </c>
      <c r="AC50" s="5" t="str">
        <v>00</v>
      </c>
      <c r="AD50" s="5" t="str">
        <v>0e</v>
      </c>
      <c r="AE50" s="5" t="str">
        <v>e0</v>
      </c>
      <c r="AF50" s="5" t="str">
        <v>00</v>
      </c>
      <c r="AG50" s="5" t="str">
        <v>00</v>
      </c>
      <c r="AH50" s="5" t="str">
        <v>89</v>
      </c>
      <c r="AI50" s="5" t="str">
        <v>00</v>
      </c>
      <c r="AJ50" s="5" t="str">
        <v>00</v>
      </c>
      <c r="AK50" s="5" t="str">
        <v>2d</v>
      </c>
    </row>
    <row r="51" spans="1:37" ht="22" customHeight="1" x14ac:dyDescent="0.3">
      <c r="A51" s="2"/>
      <c r="B51" s="2"/>
      <c r="C51" s="2"/>
      <c r="D51" s="2"/>
      <c r="E51" s="2"/>
      <c r="H51" s="2"/>
      <c r="I51" s="2"/>
      <c r="J51" s="2"/>
    </row>
    <row r="52" spans="1:37" ht="22" customHeight="1" x14ac:dyDescent="0.3">
      <c r="A52" s="2" t="s">
        <v>10</v>
      </c>
      <c r="B52" s="2" t="s">
        <v>5</v>
      </c>
      <c r="C52" s="2">
        <v>30</v>
      </c>
      <c r="D52" s="2" t="s">
        <v>3</v>
      </c>
      <c r="E52" s="2" t="s">
        <v>3</v>
      </c>
      <c r="F52" s="6" t="s">
        <v>305</v>
      </c>
      <c r="G52" s="5" t="s">
        <v>306</v>
      </c>
      <c r="H52" s="2" t="str" cm="1">
        <f t="array" ref="H52">_xlfn.LET(
  _xlpm.parts, _xlfn.TEXTSPLIT(G52, " "),
  _xlpm.count, COUNTA(_xlpm.parts),
  _xlpm.sum, SUM(--HEX2DEC(INDEX(_xlpm.parts, _xlfn.SEQUENCE(_xlpm.count - 1)))),
  "Dec: " &amp; _xlpm.sum &amp; " | Hex: " &amp; DEC2HEX(_xlpm.sum)
)</f>
        <v>Dec: 1338 | Hex: 53A</v>
      </c>
      <c r="I52" s="2" t="str">
        <f t="shared" ref="I52:I57" si="9">DEC2HEX(MOD(VALUE(MID(H52, 6, FIND("|", H52)-7)) - 12, 256), 2)</f>
        <v>2E</v>
      </c>
      <c r="J52" s="2" t="b">
        <f t="shared" ref="J52:J57" si="10">I52=AK52</f>
        <v>1</v>
      </c>
      <c r="K52" s="5" t="str" cm="1">
        <f t="array" ref="K52:AK52">_xlfn.TEXTSPLIT(G52, " ")</f>
        <v>02</v>
      </c>
      <c r="L52" s="5" t="str">
        <v>20</v>
      </c>
      <c r="M52" s="5" t="str">
        <v>e0</v>
      </c>
      <c r="N52" s="5" t="str">
        <v>04</v>
      </c>
      <c r="O52" s="5" t="str">
        <v>00</v>
      </c>
      <c r="P52" s="5" t="str">
        <v>00</v>
      </c>
      <c r="Q52" s="5" t="str">
        <v>00</v>
      </c>
      <c r="R52" s="5" t="str">
        <v>06</v>
      </c>
      <c r="S52" s="5" t="str">
        <v>02</v>
      </c>
      <c r="T52" s="5" t="str">
        <v>20</v>
      </c>
      <c r="U52" s="5" t="str">
        <v>e0</v>
      </c>
      <c r="V52" s="5" t="str">
        <v>04</v>
      </c>
      <c r="W52" s="5" t="str">
        <v>00</v>
      </c>
      <c r="X52" s="5" t="str">
        <v>39</v>
      </c>
      <c r="Y52" s="5" t="str">
        <v>3c</v>
      </c>
      <c r="Z52" s="5" t="str">
        <v>80</v>
      </c>
      <c r="AA52" s="8" t="str">
        <v>af</v>
      </c>
      <c r="AB52" s="5" t="str">
        <v>0d</v>
      </c>
      <c r="AC52" s="5" t="str">
        <v>00</v>
      </c>
      <c r="AD52" s="5" t="str">
        <v>0e</v>
      </c>
      <c r="AE52" s="5" t="str">
        <v>e0</v>
      </c>
      <c r="AF52" s="5" t="str">
        <v>00</v>
      </c>
      <c r="AG52" s="5" t="str">
        <v>00</v>
      </c>
      <c r="AH52" s="5" t="str">
        <v>89</v>
      </c>
      <c r="AI52" s="5" t="str">
        <v>00</v>
      </c>
      <c r="AJ52" s="5" t="str">
        <v>00</v>
      </c>
      <c r="AK52" s="5" t="str">
        <v>2e</v>
      </c>
    </row>
    <row r="53" spans="1:37" ht="22" customHeight="1" x14ac:dyDescent="0.3">
      <c r="A53" s="2" t="s">
        <v>10</v>
      </c>
      <c r="B53" s="2" t="s">
        <v>5</v>
      </c>
      <c r="C53" s="2">
        <v>30</v>
      </c>
      <c r="D53" s="2" t="s">
        <v>3</v>
      </c>
      <c r="E53" s="2">
        <v>1</v>
      </c>
      <c r="F53" s="6" t="s">
        <v>316</v>
      </c>
      <c r="G53" s="5" t="s">
        <v>349</v>
      </c>
      <c r="H53" s="2" t="str" cm="1">
        <f t="array" ref="H53">_xlfn.LET(
  _xlpm.parts, _xlfn.TEXTSPLIT(G53, " "),
  _xlpm.count, COUNTA(_xlpm.parts),
  _xlpm.sum, SUM(--HEX2DEC(INDEX(_xlpm.parts, _xlfn.SEQUENCE(_xlpm.count - 1)))),
  "Dec: " &amp; _xlpm.sum &amp; " | Hex: " &amp; DEC2HEX(_xlpm.sum)
)</f>
        <v>Dec: 1324 | Hex: 52C</v>
      </c>
      <c r="I53" s="2" t="str">
        <f t="shared" si="9"/>
        <v>20</v>
      </c>
      <c r="J53" s="2" t="b">
        <f t="shared" si="10"/>
        <v>1</v>
      </c>
      <c r="K53" s="5" t="str" cm="1">
        <f t="array" ref="K53:AK53">_xlfn.TEXTSPLIT(G53, " ")</f>
        <v>02</v>
      </c>
      <c r="L53" s="5" t="str">
        <v>20</v>
      </c>
      <c r="M53" s="5" t="str">
        <v>e0</v>
      </c>
      <c r="N53" s="5" t="str">
        <v>04</v>
      </c>
      <c r="O53" s="5" t="str">
        <v>00</v>
      </c>
      <c r="P53" s="5" t="str">
        <v>00</v>
      </c>
      <c r="Q53" s="5" t="str">
        <v>00</v>
      </c>
      <c r="R53" s="5" t="str">
        <v>06</v>
      </c>
      <c r="S53" s="5" t="str">
        <v>02</v>
      </c>
      <c r="T53" s="5" t="str">
        <v>20</v>
      </c>
      <c r="U53" s="5" t="str">
        <v>e0</v>
      </c>
      <c r="V53" s="5" t="str">
        <v>04</v>
      </c>
      <c r="W53" s="5" t="str">
        <v>00</v>
      </c>
      <c r="X53" s="5" t="str">
        <v>39</v>
      </c>
      <c r="Y53" s="5" t="str">
        <v>3c</v>
      </c>
      <c r="Z53" s="5" t="str">
        <v>80</v>
      </c>
      <c r="AA53" s="8" t="str">
        <v>a1</v>
      </c>
      <c r="AB53" s="5" t="str">
        <v>0d</v>
      </c>
      <c r="AC53" s="5" t="str">
        <v>00</v>
      </c>
      <c r="AD53" s="5" t="str">
        <v>0e</v>
      </c>
      <c r="AE53" s="5" t="str">
        <v>e0</v>
      </c>
      <c r="AF53" s="5" t="str">
        <v>00</v>
      </c>
      <c r="AG53" s="5" t="str">
        <v>00</v>
      </c>
      <c r="AH53" s="5" t="str">
        <v>89</v>
      </c>
      <c r="AI53" s="5" t="str">
        <v>00</v>
      </c>
      <c r="AJ53" s="5" t="str">
        <v>00</v>
      </c>
      <c r="AK53" s="5" t="str">
        <v>20</v>
      </c>
    </row>
    <row r="54" spans="1:37" ht="22" customHeight="1" x14ac:dyDescent="0.3">
      <c r="A54" s="2" t="s">
        <v>10</v>
      </c>
      <c r="B54" s="2" t="s">
        <v>5</v>
      </c>
      <c r="C54" s="2">
        <v>30</v>
      </c>
      <c r="D54" s="2" t="s">
        <v>3</v>
      </c>
      <c r="E54" s="2">
        <v>2</v>
      </c>
      <c r="G54" s="5" t="s">
        <v>350</v>
      </c>
      <c r="H54" s="2" t="str" cm="1">
        <f t="array" ref="H54">_xlfn.LET(
  _xlpm.parts, _xlfn.TEXTSPLIT(G54, " "),
  _xlpm.count, COUNTA(_xlpm.parts),
  _xlpm.sum, SUM(--HEX2DEC(INDEX(_xlpm.parts, _xlfn.SEQUENCE(_xlpm.count - 1)))),
  "Dec: " &amp; _xlpm.sum &amp; " | Hex: " &amp; DEC2HEX(_xlpm.sum)
)</f>
        <v>Dec: 1325 | Hex: 52D</v>
      </c>
      <c r="I54" s="2" t="str">
        <f t="shared" si="9"/>
        <v>21</v>
      </c>
      <c r="J54" s="2" t="b">
        <f t="shared" si="10"/>
        <v>1</v>
      </c>
      <c r="K54" s="5" t="str" cm="1">
        <f t="array" ref="K54:AK54">_xlfn.TEXTSPLIT(G54, " ")</f>
        <v>02</v>
      </c>
      <c r="L54" s="5" t="str">
        <v>20</v>
      </c>
      <c r="M54" s="5" t="str">
        <v>e0</v>
      </c>
      <c r="N54" s="5" t="str">
        <v>04</v>
      </c>
      <c r="O54" s="5" t="str">
        <v>00</v>
      </c>
      <c r="P54" s="5" t="str">
        <v>00</v>
      </c>
      <c r="Q54" s="5" t="str">
        <v>00</v>
      </c>
      <c r="R54" s="5" t="str">
        <v>06</v>
      </c>
      <c r="S54" s="5" t="str">
        <v>02</v>
      </c>
      <c r="T54" s="5" t="str">
        <v>20</v>
      </c>
      <c r="U54" s="5" t="str">
        <v>e0</v>
      </c>
      <c r="V54" s="5" t="str">
        <v>04</v>
      </c>
      <c r="W54" s="5" t="str">
        <v>00</v>
      </c>
      <c r="X54" s="5" t="str">
        <v>39</v>
      </c>
      <c r="Y54" s="5" t="str">
        <v>3c</v>
      </c>
      <c r="Z54" s="5" t="str">
        <v>80</v>
      </c>
      <c r="AA54" s="8" t="str">
        <v>a2</v>
      </c>
      <c r="AB54" s="5" t="str">
        <v>0d</v>
      </c>
      <c r="AC54" s="5" t="str">
        <v>00</v>
      </c>
      <c r="AD54" s="5" t="str">
        <v>0e</v>
      </c>
      <c r="AE54" s="5" t="str">
        <v>e0</v>
      </c>
      <c r="AF54" s="5" t="str">
        <v>00</v>
      </c>
      <c r="AG54" s="5" t="str">
        <v>00</v>
      </c>
      <c r="AH54" s="5" t="str">
        <v>89</v>
      </c>
      <c r="AI54" s="5" t="str">
        <v>00</v>
      </c>
      <c r="AJ54" s="5" t="str">
        <v>00</v>
      </c>
      <c r="AK54" s="5" t="str">
        <v>21</v>
      </c>
    </row>
    <row r="55" spans="1:37" ht="22" customHeight="1" x14ac:dyDescent="0.3">
      <c r="A55" s="2" t="s">
        <v>10</v>
      </c>
      <c r="B55" s="2" t="s">
        <v>5</v>
      </c>
      <c r="C55" s="2">
        <v>30</v>
      </c>
      <c r="D55" s="2" t="s">
        <v>3</v>
      </c>
      <c r="E55" s="2">
        <v>3</v>
      </c>
      <c r="G55" s="5" t="s">
        <v>351</v>
      </c>
      <c r="H55" s="2" t="str" cm="1">
        <f t="array" ref="H55">_xlfn.LET(
  _xlpm.parts, _xlfn.TEXTSPLIT(G55, " "),
  _xlpm.count, COUNTA(_xlpm.parts),
  _xlpm.sum, SUM(--HEX2DEC(INDEX(_xlpm.parts, _xlfn.SEQUENCE(_xlpm.count - 1)))),
  "Dec: " &amp; _xlpm.sum &amp; " | Hex: " &amp; DEC2HEX(_xlpm.sum)
)</f>
        <v>Dec: 1326 | Hex: 52E</v>
      </c>
      <c r="I55" s="2" t="str">
        <f t="shared" si="9"/>
        <v>22</v>
      </c>
      <c r="J55" s="2" t="b">
        <f t="shared" si="10"/>
        <v>1</v>
      </c>
      <c r="K55" s="5" t="str" cm="1">
        <f t="array" ref="K55:AK55">_xlfn.TEXTSPLIT(G55, " ")</f>
        <v>02</v>
      </c>
      <c r="L55" s="5" t="str">
        <v>20</v>
      </c>
      <c r="M55" s="5" t="str">
        <v>e0</v>
      </c>
      <c r="N55" s="5" t="str">
        <v>04</v>
      </c>
      <c r="O55" s="5" t="str">
        <v>00</v>
      </c>
      <c r="P55" s="5" t="str">
        <v>00</v>
      </c>
      <c r="Q55" s="5" t="str">
        <v>00</v>
      </c>
      <c r="R55" s="5" t="str">
        <v>06</v>
      </c>
      <c r="S55" s="5" t="str">
        <v>02</v>
      </c>
      <c r="T55" s="5" t="str">
        <v>20</v>
      </c>
      <c r="U55" s="5" t="str">
        <v>e0</v>
      </c>
      <c r="V55" s="5" t="str">
        <v>04</v>
      </c>
      <c r="W55" s="5" t="str">
        <v>00</v>
      </c>
      <c r="X55" s="5" t="str">
        <v>39</v>
      </c>
      <c r="Y55" s="5" t="str">
        <v>3c</v>
      </c>
      <c r="Z55" s="5" t="str">
        <v>80</v>
      </c>
      <c r="AA55" s="8" t="str">
        <v>a3</v>
      </c>
      <c r="AB55" s="5" t="str">
        <v>0d</v>
      </c>
      <c r="AC55" s="5" t="str">
        <v>00</v>
      </c>
      <c r="AD55" s="5" t="str">
        <v>0e</v>
      </c>
      <c r="AE55" s="5" t="str">
        <v>e0</v>
      </c>
      <c r="AF55" s="5" t="str">
        <v>00</v>
      </c>
      <c r="AG55" s="5" t="str">
        <v>00</v>
      </c>
      <c r="AH55" s="5" t="str">
        <v>89</v>
      </c>
      <c r="AI55" s="5" t="str">
        <v>00</v>
      </c>
      <c r="AJ55" s="5" t="str">
        <v>00</v>
      </c>
      <c r="AK55" s="5" t="str">
        <v>22</v>
      </c>
    </row>
    <row r="56" spans="1:37" ht="22" customHeight="1" x14ac:dyDescent="0.3">
      <c r="A56" s="2" t="s">
        <v>10</v>
      </c>
      <c r="B56" s="2" t="s">
        <v>5</v>
      </c>
      <c r="C56" s="2">
        <v>30</v>
      </c>
      <c r="D56" s="2" t="s">
        <v>3</v>
      </c>
      <c r="E56" s="2">
        <v>4</v>
      </c>
      <c r="G56" s="5" t="s">
        <v>352</v>
      </c>
      <c r="H56" s="2" t="str" cm="1">
        <f t="array" ref="H56">_xlfn.LET(
  _xlpm.parts, _xlfn.TEXTSPLIT(G56, " "),
  _xlpm.count, COUNTA(_xlpm.parts),
  _xlpm.sum, SUM(--HEX2DEC(INDEX(_xlpm.parts, _xlfn.SEQUENCE(_xlpm.count - 1)))),
  "Dec: " &amp; _xlpm.sum &amp; " | Hex: " &amp; DEC2HEX(_xlpm.sum)
)</f>
        <v>Dec: 1327 | Hex: 52F</v>
      </c>
      <c r="I56" s="2" t="str">
        <f t="shared" si="9"/>
        <v>23</v>
      </c>
      <c r="J56" s="2" t="b">
        <f t="shared" si="10"/>
        <v>1</v>
      </c>
      <c r="K56" s="5" t="str" cm="1">
        <f t="array" ref="K56:AK56">_xlfn.TEXTSPLIT(G56, " ")</f>
        <v>02</v>
      </c>
      <c r="L56" s="5" t="str">
        <v>20</v>
      </c>
      <c r="M56" s="5" t="str">
        <v>e0</v>
      </c>
      <c r="N56" s="5" t="str">
        <v>04</v>
      </c>
      <c r="O56" s="5" t="str">
        <v>00</v>
      </c>
      <c r="P56" s="5" t="str">
        <v>00</v>
      </c>
      <c r="Q56" s="5" t="str">
        <v>00</v>
      </c>
      <c r="R56" s="5" t="str">
        <v>06</v>
      </c>
      <c r="S56" s="5" t="str">
        <v>02</v>
      </c>
      <c r="T56" s="5" t="str">
        <v>20</v>
      </c>
      <c r="U56" s="5" t="str">
        <v>e0</v>
      </c>
      <c r="V56" s="5" t="str">
        <v>04</v>
      </c>
      <c r="W56" s="5" t="str">
        <v>00</v>
      </c>
      <c r="X56" s="5" t="str">
        <v>39</v>
      </c>
      <c r="Y56" s="5" t="str">
        <v>3c</v>
      </c>
      <c r="Z56" s="5" t="str">
        <v>80</v>
      </c>
      <c r="AA56" s="8" t="str">
        <v>a4</v>
      </c>
      <c r="AB56" s="5" t="str">
        <v>0d</v>
      </c>
      <c r="AC56" s="5" t="str">
        <v>00</v>
      </c>
      <c r="AD56" s="5" t="str">
        <v>0e</v>
      </c>
      <c r="AE56" s="5" t="str">
        <v>e0</v>
      </c>
      <c r="AF56" s="5" t="str">
        <v>00</v>
      </c>
      <c r="AG56" s="5" t="str">
        <v>00</v>
      </c>
      <c r="AH56" s="5" t="str">
        <v>89</v>
      </c>
      <c r="AI56" s="5" t="str">
        <v>00</v>
      </c>
      <c r="AJ56" s="5" t="str">
        <v>00</v>
      </c>
      <c r="AK56" s="5" t="str">
        <v>23</v>
      </c>
    </row>
    <row r="57" spans="1:37" ht="22" customHeight="1" x14ac:dyDescent="0.3">
      <c r="A57" s="2" t="s">
        <v>10</v>
      </c>
      <c r="B57" s="2" t="s">
        <v>5</v>
      </c>
      <c r="C57" s="2">
        <v>30</v>
      </c>
      <c r="D57" s="2" t="s">
        <v>3</v>
      </c>
      <c r="E57" s="2">
        <v>5</v>
      </c>
      <c r="F57" s="6" t="s">
        <v>317</v>
      </c>
      <c r="G57" s="5" t="s">
        <v>353</v>
      </c>
      <c r="H57" s="2" t="str" cm="1">
        <f t="array" ref="H57">_xlfn.LET(
  _xlpm.parts, _xlfn.TEXTSPLIT(G57, " "),
  _xlpm.count, COUNTA(_xlpm.parts),
  _xlpm.sum, SUM(--HEX2DEC(INDEX(_xlpm.parts, _xlfn.SEQUENCE(_xlpm.count - 1)))),
  "Dec: " &amp; _xlpm.sum &amp; " | Hex: " &amp; DEC2HEX(_xlpm.sum)
)</f>
        <v>Dec: 1328 | Hex: 530</v>
      </c>
      <c r="I57" s="2" t="str">
        <f t="shared" si="9"/>
        <v>24</v>
      </c>
      <c r="J57" s="2" t="b">
        <f t="shared" si="10"/>
        <v>1</v>
      </c>
      <c r="K57" s="5" t="str" cm="1">
        <f t="array" ref="K57:AK57">_xlfn.TEXTSPLIT(G57, " ")</f>
        <v>02</v>
      </c>
      <c r="L57" s="5" t="str">
        <v>20</v>
      </c>
      <c r="M57" s="5" t="str">
        <v>e0</v>
      </c>
      <c r="N57" s="5" t="str">
        <v>04</v>
      </c>
      <c r="O57" s="5" t="str">
        <v>00</v>
      </c>
      <c r="P57" s="5" t="str">
        <v>00</v>
      </c>
      <c r="Q57" s="5" t="str">
        <v>00</v>
      </c>
      <c r="R57" s="5" t="str">
        <v>06</v>
      </c>
      <c r="S57" s="5" t="str">
        <v>02</v>
      </c>
      <c r="T57" s="5" t="str">
        <v>20</v>
      </c>
      <c r="U57" s="5" t="str">
        <v>e0</v>
      </c>
      <c r="V57" s="5" t="str">
        <v>04</v>
      </c>
      <c r="W57" s="5" t="str">
        <v>00</v>
      </c>
      <c r="X57" s="5" t="str">
        <v>39</v>
      </c>
      <c r="Y57" s="5" t="str">
        <v>3c</v>
      </c>
      <c r="Z57" s="5" t="str">
        <v>80</v>
      </c>
      <c r="AA57" s="8" t="str">
        <v>a5</v>
      </c>
      <c r="AB57" s="5" t="str">
        <v>0d</v>
      </c>
      <c r="AC57" s="5" t="str">
        <v>00</v>
      </c>
      <c r="AD57" s="5" t="str">
        <v>0e</v>
      </c>
      <c r="AE57" s="5" t="str">
        <v>e0</v>
      </c>
      <c r="AF57" s="5" t="str">
        <v>00</v>
      </c>
      <c r="AG57" s="5" t="str">
        <v>00</v>
      </c>
      <c r="AH57" s="5" t="str">
        <v>89</v>
      </c>
      <c r="AI57" s="5" t="str">
        <v>00</v>
      </c>
      <c r="AJ57" s="5" t="str">
        <v>00</v>
      </c>
      <c r="AK57" s="5" t="str">
        <v>24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F431-CA74-F248-A070-B78FE6D3090F}">
  <sheetPr codeName="Sheet4"/>
  <dimension ref="A1:AK59"/>
  <sheetViews>
    <sheetView tabSelected="1" topLeftCell="G34" zoomScale="68" zoomScaleNormal="91" workbookViewId="0">
      <selection activeCell="I59" sqref="I59"/>
    </sheetView>
  </sheetViews>
  <sheetFormatPr baseColWidth="10" defaultRowHeight="22" x14ac:dyDescent="0.3"/>
  <cols>
    <col min="1" max="3" width="10.83203125" style="5"/>
    <col min="4" max="4" width="17.83203125" style="5" bestFit="1" customWidth="1"/>
    <col min="5" max="5" width="18" style="5" bestFit="1" customWidth="1"/>
    <col min="6" max="6" width="40.83203125" style="5" customWidth="1"/>
    <col min="7" max="7" width="88.6640625" style="5" bestFit="1" customWidth="1"/>
    <col min="8" max="8" width="24.83203125" style="5" bestFit="1" customWidth="1"/>
    <col min="9" max="9" width="13.5" style="5" bestFit="1" customWidth="1"/>
    <col min="10" max="10" width="10.83203125" style="5" customWidth="1"/>
    <col min="11" max="37" width="4.1640625" style="5" customWidth="1"/>
    <col min="38" max="16384" width="10.83203125" style="5"/>
  </cols>
  <sheetData>
    <row r="1" spans="1:37" ht="22" customHeight="1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1" t="s">
        <v>16</v>
      </c>
      <c r="G1" s="2" t="s">
        <v>4</v>
      </c>
      <c r="H1" s="2" t="s">
        <v>332</v>
      </c>
      <c r="I1" s="2" t="s">
        <v>337</v>
      </c>
      <c r="J1" s="7" t="s">
        <v>338</v>
      </c>
      <c r="K1" s="5">
        <v>0</v>
      </c>
      <c r="L1" s="5">
        <v>1</v>
      </c>
      <c r="M1" s="5">
        <v>2</v>
      </c>
      <c r="N1" s="5">
        <v>3</v>
      </c>
      <c r="O1" s="5">
        <v>4</v>
      </c>
      <c r="P1" s="5">
        <v>5</v>
      </c>
      <c r="Q1" s="5">
        <v>6</v>
      </c>
      <c r="R1" s="5">
        <v>7</v>
      </c>
      <c r="S1" s="5">
        <v>8</v>
      </c>
      <c r="T1" s="5">
        <v>9</v>
      </c>
      <c r="U1" s="5">
        <v>10</v>
      </c>
      <c r="V1" s="5">
        <v>11</v>
      </c>
      <c r="W1" s="5">
        <v>12</v>
      </c>
      <c r="X1" s="8">
        <v>13</v>
      </c>
      <c r="Y1" s="8">
        <v>14</v>
      </c>
      <c r="Z1" s="5">
        <v>15</v>
      </c>
      <c r="AA1" s="8">
        <v>16</v>
      </c>
      <c r="AB1" s="8">
        <v>17</v>
      </c>
      <c r="AC1" s="5">
        <v>18</v>
      </c>
      <c r="AD1" s="5">
        <v>19</v>
      </c>
      <c r="AE1" s="5">
        <v>20</v>
      </c>
      <c r="AF1" s="8">
        <v>21</v>
      </c>
      <c r="AG1" s="5">
        <v>22</v>
      </c>
      <c r="AH1" s="5">
        <v>23</v>
      </c>
      <c r="AI1" s="5">
        <v>24</v>
      </c>
      <c r="AJ1" s="5">
        <v>25</v>
      </c>
      <c r="AK1" s="5">
        <v>26</v>
      </c>
    </row>
    <row r="2" spans="1:37" ht="22" customHeight="1" x14ac:dyDescent="0.3">
      <c r="A2" s="2" t="s">
        <v>107</v>
      </c>
      <c r="B2" s="2" t="s">
        <v>3</v>
      </c>
      <c r="C2" s="2">
        <v>16</v>
      </c>
      <c r="D2" s="2" t="s">
        <v>3</v>
      </c>
      <c r="E2" s="2" t="s">
        <v>3</v>
      </c>
      <c r="F2" s="6" t="s">
        <v>320</v>
      </c>
      <c r="G2" s="2" t="s">
        <v>321</v>
      </c>
      <c r="H2" s="2" t="str" cm="1">
        <f t="array" ref="H2">_xlfn.LET(
  _xlpm.parts, _xlfn.TEXTSPLIT(G2, " "),
  _xlpm.count, COUNTA(_xlpm.parts),
  _xlpm.sum, SUM(--HEX2DEC(INDEX(_xlpm.parts, _xlfn.SEQUENCE(_xlpm.count - 1)))),
  "Dec: " &amp; _xlpm.sum &amp; " | Hex: " &amp; DEC2HEX(_xlpm.sum)
)</f>
        <v>Dec: 1294 | Hex: 50E</v>
      </c>
      <c r="I2" s="2" t="str">
        <f>DEC2HEX(MOD(VALUE(MID(H2, 6, FIND("|", H2)-7)) - 12, 256), 2)</f>
        <v>02</v>
      </c>
      <c r="J2" s="2" t="b">
        <f>I2=AK2</f>
        <v>1</v>
      </c>
      <c r="K2" s="5" t="str" cm="1">
        <f t="array" ref="K2:AK2">_xlfn.TEXTSPLIT(G2, " ")</f>
        <v>02</v>
      </c>
      <c r="L2" s="5" t="str">
        <v>20</v>
      </c>
      <c r="M2" s="5" t="str">
        <v>e0</v>
      </c>
      <c r="N2" s="5" t="str">
        <v>04</v>
      </c>
      <c r="O2" s="5" t="str">
        <v>00</v>
      </c>
      <c r="P2" s="5" t="str">
        <v>00</v>
      </c>
      <c r="Q2" s="5" t="str">
        <v>00</v>
      </c>
      <c r="R2" s="5" t="str">
        <v>06</v>
      </c>
      <c r="S2" s="5" t="str">
        <v>02</v>
      </c>
      <c r="T2" s="5" t="str">
        <v>20</v>
      </c>
      <c r="U2" s="5" t="str">
        <v>e0</v>
      </c>
      <c r="V2" s="5" t="str">
        <v>04</v>
      </c>
      <c r="W2" s="5" t="str">
        <v>00</v>
      </c>
      <c r="X2" s="8" t="str">
        <v>29</v>
      </c>
      <c r="Y2" s="5" t="str">
        <v>20</v>
      </c>
      <c r="Z2" s="5" t="str">
        <v>80</v>
      </c>
      <c r="AA2" s="5" t="str">
        <v>af</v>
      </c>
      <c r="AB2" s="5" t="str">
        <v>0d</v>
      </c>
      <c r="AC2" s="5" t="str">
        <v>00</v>
      </c>
      <c r="AD2" s="5" t="str">
        <v>0e</v>
      </c>
      <c r="AE2" s="5" t="str">
        <v>e0</v>
      </c>
      <c r="AF2" s="5" t="str">
        <v>00</v>
      </c>
      <c r="AG2" s="5" t="str">
        <v>00</v>
      </c>
      <c r="AH2" s="5" t="str">
        <v>89</v>
      </c>
      <c r="AI2" s="5" t="str">
        <v>00</v>
      </c>
      <c r="AJ2" s="5" t="str">
        <v>00</v>
      </c>
      <c r="AK2" s="5" t="str">
        <v>02</v>
      </c>
    </row>
    <row r="3" spans="1:37" ht="22" customHeight="1" x14ac:dyDescent="0.3">
      <c r="A3" s="2" t="s">
        <v>108</v>
      </c>
      <c r="B3" s="2" t="s">
        <v>3</v>
      </c>
      <c r="C3" s="2">
        <v>16</v>
      </c>
      <c r="D3" s="2" t="s">
        <v>3</v>
      </c>
      <c r="E3" s="2" t="s">
        <v>3</v>
      </c>
      <c r="F3" s="6" t="s">
        <v>318</v>
      </c>
      <c r="G3" s="2" t="s">
        <v>319</v>
      </c>
      <c r="H3" s="2" t="str" cm="1">
        <f t="array" ref="H3">_xlfn.LET(
  _xlpm.parts, _xlfn.TEXTSPLIT(G3, " "),
  _xlpm.count, COUNTA(_xlpm.parts),
  _xlpm.sum, SUM(--HEX2DEC(INDEX(_xlpm.parts, _xlfn.SEQUENCE(_xlpm.count - 1)))),
  "Dec: " &amp; _xlpm.sum &amp; " | Hex: " &amp; DEC2HEX(_xlpm.sum)
)</f>
        <v>Dec: 1293 | Hex: 50D</v>
      </c>
      <c r="I3" s="2" t="str">
        <f t="shared" ref="I3" si="0">DEC2HEX(MOD(VALUE(MID(H3, 6, FIND("|", H3)-7)) - 12, 256), 2)</f>
        <v>01</v>
      </c>
      <c r="J3" s="2" t="b">
        <f>I3=AK3</f>
        <v>1</v>
      </c>
      <c r="K3" s="5" t="str" cm="1">
        <f t="array" ref="K3:AK3">_xlfn.TEXTSPLIT(G3, " ")</f>
        <v>02</v>
      </c>
      <c r="L3" s="5" t="str">
        <v>20</v>
      </c>
      <c r="M3" s="5" t="str">
        <v>e0</v>
      </c>
      <c r="N3" s="5" t="str">
        <v>04</v>
      </c>
      <c r="O3" s="5" t="str">
        <v>00</v>
      </c>
      <c r="P3" s="5" t="str">
        <v>00</v>
      </c>
      <c r="Q3" s="5" t="str">
        <v>00</v>
      </c>
      <c r="R3" s="5" t="str">
        <v>06</v>
      </c>
      <c r="S3" s="5" t="str">
        <v>02</v>
      </c>
      <c r="T3" s="5" t="str">
        <v>20</v>
      </c>
      <c r="U3" s="5" t="str">
        <v>e0</v>
      </c>
      <c r="V3" s="5" t="str">
        <v>04</v>
      </c>
      <c r="W3" s="5" t="str">
        <v>00</v>
      </c>
      <c r="X3" s="8" t="str">
        <v>28</v>
      </c>
      <c r="Y3" s="5" t="str">
        <v>20</v>
      </c>
      <c r="Z3" s="5" t="str">
        <v>80</v>
      </c>
      <c r="AA3" s="5" t="str">
        <v>af</v>
      </c>
      <c r="AB3" s="5" t="str">
        <v>0d</v>
      </c>
      <c r="AC3" s="5" t="str">
        <v>00</v>
      </c>
      <c r="AD3" s="5" t="str">
        <v>0e</v>
      </c>
      <c r="AE3" s="5" t="str">
        <v>e0</v>
      </c>
      <c r="AF3" s="5" t="str">
        <v>00</v>
      </c>
      <c r="AG3" s="5" t="str">
        <v>00</v>
      </c>
      <c r="AH3" s="5" t="str">
        <v>89</v>
      </c>
      <c r="AI3" s="5" t="str">
        <v>00</v>
      </c>
      <c r="AJ3" s="5" t="str">
        <v>00</v>
      </c>
      <c r="AK3" s="5" t="str">
        <v>01</v>
      </c>
    </row>
    <row r="4" spans="1:37" ht="22" customHeight="1" x14ac:dyDescent="0.3">
      <c r="A4" s="2"/>
      <c r="B4" s="2"/>
      <c r="C4" s="2"/>
      <c r="D4" s="2"/>
      <c r="E4" s="2"/>
      <c r="H4" s="2"/>
      <c r="I4" s="2"/>
      <c r="J4" s="2"/>
    </row>
    <row r="5" spans="1:37" ht="22" customHeight="1" x14ac:dyDescent="0.3">
      <c r="A5" s="2" t="s">
        <v>2</v>
      </c>
      <c r="B5" s="2" t="s">
        <v>3</v>
      </c>
      <c r="C5" s="2">
        <v>16</v>
      </c>
      <c r="D5" s="2" t="s">
        <v>3</v>
      </c>
      <c r="E5" s="2" t="s">
        <v>3</v>
      </c>
      <c r="F5" s="6" t="s">
        <v>320</v>
      </c>
      <c r="G5" s="2" t="s">
        <v>321</v>
      </c>
      <c r="H5" s="2" t="str" cm="1">
        <f t="array" ref="H5">_xlfn.LET(
  _xlpm.parts, _xlfn.TEXTSPLIT(G5, " "),
  _xlpm.count, COUNTA(_xlpm.parts),
  _xlpm.sum, SUM(--HEX2DEC(INDEX(_xlpm.parts, _xlfn.SEQUENCE(_xlpm.count - 1)))),
  "Dec: " &amp; _xlpm.sum &amp; " | Hex: " &amp; DEC2HEX(_xlpm.sum)
)</f>
        <v>Dec: 1294 | Hex: 50E</v>
      </c>
      <c r="I5" s="2" t="str">
        <f t="shared" ref="I5:I33" si="1">DEC2HEX(MOD(VALUE(MID(H5, 6, FIND("|", H5)-7)) - 12, 256), 2)</f>
        <v>02</v>
      </c>
      <c r="J5" s="2" t="b">
        <f>I5=AK5</f>
        <v>1</v>
      </c>
      <c r="K5" s="5" t="str" cm="1">
        <f t="array" ref="K5:AK5">_xlfn.TEXTSPLIT(G5, " ")</f>
        <v>02</v>
      </c>
      <c r="L5" s="5" t="str">
        <v>20</v>
      </c>
      <c r="M5" s="5" t="str">
        <v>e0</v>
      </c>
      <c r="N5" s="5" t="str">
        <v>04</v>
      </c>
      <c r="O5" s="5" t="str">
        <v>00</v>
      </c>
      <c r="P5" s="5" t="str">
        <v>00</v>
      </c>
      <c r="Q5" s="5" t="str">
        <v>00</v>
      </c>
      <c r="R5" s="5" t="str">
        <v>06</v>
      </c>
      <c r="S5" s="5" t="str">
        <v>02</v>
      </c>
      <c r="T5" s="5" t="str">
        <v>20</v>
      </c>
      <c r="U5" s="5" t="str">
        <v>e0</v>
      </c>
      <c r="V5" s="5" t="str">
        <v>04</v>
      </c>
      <c r="W5" s="5" t="str">
        <v>00</v>
      </c>
      <c r="X5" s="5" t="str">
        <v>29</v>
      </c>
      <c r="Y5" s="8" t="str">
        <v>20</v>
      </c>
      <c r="Z5" s="5" t="str">
        <v>80</v>
      </c>
      <c r="AA5" s="5" t="str">
        <v>af</v>
      </c>
      <c r="AB5" s="5" t="str">
        <v>0d</v>
      </c>
      <c r="AC5" s="5" t="str">
        <v>00</v>
      </c>
      <c r="AD5" s="5" t="str">
        <v>0e</v>
      </c>
      <c r="AE5" s="5" t="str">
        <v>e0</v>
      </c>
      <c r="AF5" s="5" t="str">
        <v>00</v>
      </c>
      <c r="AG5" s="5" t="str">
        <v>00</v>
      </c>
      <c r="AH5" s="5" t="str">
        <v>89</v>
      </c>
      <c r="AI5" s="5" t="str">
        <v>00</v>
      </c>
      <c r="AJ5" s="5" t="str">
        <v>00</v>
      </c>
      <c r="AK5" s="5" t="str">
        <v>02</v>
      </c>
    </row>
    <row r="6" spans="1:37" ht="22" customHeight="1" x14ac:dyDescent="0.3">
      <c r="A6" s="2" t="s">
        <v>2</v>
      </c>
      <c r="B6" s="2" t="s">
        <v>3</v>
      </c>
      <c r="C6" s="2">
        <v>16.5</v>
      </c>
      <c r="D6" s="2" t="s">
        <v>3</v>
      </c>
      <c r="E6" s="2" t="s">
        <v>3</v>
      </c>
      <c r="F6" s="6" t="s">
        <v>322</v>
      </c>
      <c r="G6" s="5" t="s">
        <v>323</v>
      </c>
      <c r="H6" s="2" t="str" cm="1">
        <f t="array" ref="H6">_xlfn.LET(
  _xlpm.parts, _xlfn.TEXTSPLIT(G6, " "),
  _xlpm.count, COUNTA(_xlpm.parts),
  _xlpm.sum, SUM(--HEX2DEC(INDEX(_xlpm.parts, _xlfn.SEQUENCE(_xlpm.count - 1)))),
  "Dec: " &amp; _xlpm.sum &amp; " | Hex: " &amp; DEC2HEX(_xlpm.sum)
)</f>
        <v>Dec: 1295 | Hex: 50F</v>
      </c>
      <c r="I6" s="2" t="str">
        <f t="shared" si="1"/>
        <v>03</v>
      </c>
      <c r="J6" s="2" t="b">
        <f t="shared" ref="J6:J33" si="2">I6=AK6</f>
        <v>1</v>
      </c>
      <c r="K6" s="5" t="str" cm="1">
        <f t="array" ref="K6:AK6">_xlfn.TEXTSPLIT(G6, " ")</f>
        <v>02</v>
      </c>
      <c r="L6" s="5" t="str">
        <v>20</v>
      </c>
      <c r="M6" s="5" t="str">
        <v>e0</v>
      </c>
      <c r="N6" s="5" t="str">
        <v>04</v>
      </c>
      <c r="O6" s="5" t="str">
        <v>00</v>
      </c>
      <c r="P6" s="5" t="str">
        <v>00</v>
      </c>
      <c r="Q6" s="5" t="str">
        <v>00</v>
      </c>
      <c r="R6" s="5" t="str">
        <v>06</v>
      </c>
      <c r="S6" s="5" t="str">
        <v>02</v>
      </c>
      <c r="T6" s="5" t="str">
        <v>20</v>
      </c>
      <c r="U6" s="5" t="str">
        <v>e0</v>
      </c>
      <c r="V6" s="5" t="str">
        <v>04</v>
      </c>
      <c r="W6" s="5" t="str">
        <v>00</v>
      </c>
      <c r="X6" s="5" t="str">
        <v>29</v>
      </c>
      <c r="Y6" s="8" t="str">
        <v>21</v>
      </c>
      <c r="Z6" s="5" t="str">
        <v>80</v>
      </c>
      <c r="AA6" s="5" t="str">
        <v>af</v>
      </c>
      <c r="AB6" s="5" t="str">
        <v>0d</v>
      </c>
      <c r="AC6" s="5" t="str">
        <v>00</v>
      </c>
      <c r="AD6" s="5" t="str">
        <v>0e</v>
      </c>
      <c r="AE6" s="5" t="str">
        <v>e0</v>
      </c>
      <c r="AF6" s="5" t="str">
        <v>00</v>
      </c>
      <c r="AG6" s="5" t="str">
        <v>00</v>
      </c>
      <c r="AH6" s="5" t="str">
        <v>89</v>
      </c>
      <c r="AI6" s="5" t="str">
        <v>00</v>
      </c>
      <c r="AJ6" s="5" t="str">
        <v>00</v>
      </c>
      <c r="AK6" s="5" t="str">
        <v>03</v>
      </c>
    </row>
    <row r="7" spans="1:37" ht="22" customHeight="1" x14ac:dyDescent="0.3">
      <c r="A7" s="2" t="s">
        <v>2</v>
      </c>
      <c r="B7" s="2" t="s">
        <v>3</v>
      </c>
      <c r="C7" s="2">
        <v>17</v>
      </c>
      <c r="D7" s="2" t="s">
        <v>3</v>
      </c>
      <c r="E7" s="2" t="s">
        <v>3</v>
      </c>
      <c r="F7" s="6" t="s">
        <v>324</v>
      </c>
      <c r="G7" s="5" t="s">
        <v>325</v>
      </c>
      <c r="H7" s="2" t="str" cm="1">
        <f t="array" ref="H7">_xlfn.LET(
  _xlpm.parts, _xlfn.TEXTSPLIT(G7, " "),
  _xlpm.count, COUNTA(_xlpm.parts),
  _xlpm.sum, SUM(--HEX2DEC(INDEX(_xlpm.parts, _xlfn.SEQUENCE(_xlpm.count - 1)))),
  "Dec: " &amp; _xlpm.sum &amp; " | Hex: " &amp; DEC2HEX(_xlpm.sum)
)</f>
        <v>Dec: 1296 | Hex: 510</v>
      </c>
      <c r="I7" s="2" t="str">
        <f t="shared" si="1"/>
        <v>04</v>
      </c>
      <c r="J7" s="2" t="b">
        <f t="shared" si="2"/>
        <v>1</v>
      </c>
      <c r="K7" s="5" t="str" cm="1">
        <f t="array" ref="K7:AK7">_xlfn.TEXTSPLIT(G7, " ")</f>
        <v>02</v>
      </c>
      <c r="L7" s="5" t="str">
        <v>20</v>
      </c>
      <c r="M7" s="5" t="str">
        <v>e0</v>
      </c>
      <c r="N7" s="5" t="str">
        <v>04</v>
      </c>
      <c r="O7" s="5" t="str">
        <v>00</v>
      </c>
      <c r="P7" s="5" t="str">
        <v>00</v>
      </c>
      <c r="Q7" s="5" t="str">
        <v>00</v>
      </c>
      <c r="R7" s="5" t="str">
        <v>06</v>
      </c>
      <c r="S7" s="5" t="str">
        <v>02</v>
      </c>
      <c r="T7" s="5" t="str">
        <v>20</v>
      </c>
      <c r="U7" s="5" t="str">
        <v>e0</v>
      </c>
      <c r="V7" s="5" t="str">
        <v>04</v>
      </c>
      <c r="W7" s="5" t="str">
        <v>00</v>
      </c>
      <c r="X7" s="5" t="str">
        <v>29</v>
      </c>
      <c r="Y7" s="8" t="str">
        <v>22</v>
      </c>
      <c r="Z7" s="5" t="str">
        <v>80</v>
      </c>
      <c r="AA7" s="5" t="str">
        <v>af</v>
      </c>
      <c r="AB7" s="5" t="str">
        <v>0d</v>
      </c>
      <c r="AC7" s="5" t="str">
        <v>00</v>
      </c>
      <c r="AD7" s="5" t="str">
        <v>0e</v>
      </c>
      <c r="AE7" s="5" t="str">
        <v>e0</v>
      </c>
      <c r="AF7" s="5" t="str">
        <v>00</v>
      </c>
      <c r="AG7" s="5" t="str">
        <v>00</v>
      </c>
      <c r="AH7" s="5" t="str">
        <v>89</v>
      </c>
      <c r="AI7" s="5" t="str">
        <v>00</v>
      </c>
      <c r="AJ7" s="5" t="str">
        <v>00</v>
      </c>
      <c r="AK7" s="5" t="str">
        <v>04</v>
      </c>
    </row>
    <row r="8" spans="1:37" ht="22" customHeight="1" x14ac:dyDescent="0.3">
      <c r="A8" s="2" t="s">
        <v>2</v>
      </c>
      <c r="B8" s="2" t="s">
        <v>3</v>
      </c>
      <c r="C8" s="2">
        <v>17.5</v>
      </c>
      <c r="D8" s="2" t="s">
        <v>3</v>
      </c>
      <c r="E8" s="2" t="s">
        <v>3</v>
      </c>
      <c r="F8" s="6"/>
      <c r="G8" s="5" t="s">
        <v>354</v>
      </c>
      <c r="H8" s="2" t="str" cm="1">
        <f t="array" ref="H8">_xlfn.LET(
  _xlpm.parts, _xlfn.TEXTSPLIT(G8, " "),
  _xlpm.count, COUNTA(_xlpm.parts),
  _xlpm.sum, SUM(--HEX2DEC(INDEX(_xlpm.parts, _xlfn.SEQUENCE(_xlpm.count - 1)))),
  "Dec: " &amp; _xlpm.sum &amp; " | Hex: " &amp; DEC2HEX(_xlpm.sum)
)</f>
        <v>Dec: 1297 | Hex: 511</v>
      </c>
      <c r="I8" s="2" t="str">
        <f t="shared" si="1"/>
        <v>05</v>
      </c>
      <c r="J8" s="2" t="b">
        <f t="shared" si="2"/>
        <v>1</v>
      </c>
      <c r="K8" s="5" t="str" cm="1">
        <f t="array" ref="K8:AK8">_xlfn.TEXTSPLIT(G8, " ")</f>
        <v>02</v>
      </c>
      <c r="L8" s="5" t="str">
        <v>20</v>
      </c>
      <c r="M8" s="5" t="str">
        <v>e0</v>
      </c>
      <c r="N8" s="5" t="str">
        <v>04</v>
      </c>
      <c r="O8" s="5" t="str">
        <v>00</v>
      </c>
      <c r="P8" s="5" t="str">
        <v>00</v>
      </c>
      <c r="Q8" s="5" t="str">
        <v>00</v>
      </c>
      <c r="R8" s="5" t="str">
        <v>06</v>
      </c>
      <c r="S8" s="5" t="str">
        <v>02</v>
      </c>
      <c r="T8" s="5" t="str">
        <v>20</v>
      </c>
      <c r="U8" s="5" t="str">
        <v>e0</v>
      </c>
      <c r="V8" s="5" t="str">
        <v>04</v>
      </c>
      <c r="W8" s="5" t="str">
        <v>00</v>
      </c>
      <c r="X8" s="5" t="str">
        <v>29</v>
      </c>
      <c r="Y8" s="8" t="str">
        <v>23</v>
      </c>
      <c r="Z8" s="5" t="str">
        <v>80</v>
      </c>
      <c r="AA8" s="5" t="str">
        <v>af</v>
      </c>
      <c r="AB8" s="5" t="str">
        <v>0d</v>
      </c>
      <c r="AC8" s="5" t="str">
        <v>00</v>
      </c>
      <c r="AD8" s="5" t="str">
        <v>0e</v>
      </c>
      <c r="AE8" s="5" t="str">
        <v>e0</v>
      </c>
      <c r="AF8" s="5" t="str">
        <v>00</v>
      </c>
      <c r="AG8" s="5" t="str">
        <v>00</v>
      </c>
      <c r="AH8" s="5" t="str">
        <v>89</v>
      </c>
      <c r="AI8" s="5" t="str">
        <v>00</v>
      </c>
      <c r="AJ8" s="5" t="str">
        <v>00</v>
      </c>
      <c r="AK8" s="5" t="str">
        <v>05</v>
      </c>
    </row>
    <row r="9" spans="1:37" ht="22" customHeight="1" x14ac:dyDescent="0.3">
      <c r="A9" s="2" t="s">
        <v>2</v>
      </c>
      <c r="B9" s="2" t="s">
        <v>3</v>
      </c>
      <c r="C9" s="2">
        <v>18</v>
      </c>
      <c r="D9" s="2" t="s">
        <v>3</v>
      </c>
      <c r="E9" s="2" t="s">
        <v>3</v>
      </c>
      <c r="F9" s="6"/>
      <c r="G9" s="5" t="s">
        <v>357</v>
      </c>
      <c r="H9" s="2" t="str" cm="1">
        <f t="array" ref="H9">_xlfn.LET(
  _xlpm.parts, _xlfn.TEXTSPLIT(G9, " "),
  _xlpm.count, COUNTA(_xlpm.parts),
  _xlpm.sum, SUM(--HEX2DEC(INDEX(_xlpm.parts, _xlfn.SEQUENCE(_xlpm.count - 1)))),
  "Dec: " &amp; _xlpm.sum &amp; " | Hex: " &amp; DEC2HEX(_xlpm.sum)
)</f>
        <v>Dec: 1298 | Hex: 512</v>
      </c>
      <c r="I9" s="2" t="str">
        <f t="shared" si="1"/>
        <v>06</v>
      </c>
      <c r="J9" s="2" t="b">
        <f t="shared" si="2"/>
        <v>1</v>
      </c>
      <c r="K9" s="5" t="str" cm="1">
        <f t="array" ref="K9:AK9">_xlfn.TEXTSPLIT(G9, " ")</f>
        <v>02</v>
      </c>
      <c r="L9" s="5" t="str">
        <v>20</v>
      </c>
      <c r="M9" s="5" t="str">
        <v>e0</v>
      </c>
      <c r="N9" s="5" t="str">
        <v>04</v>
      </c>
      <c r="O9" s="5" t="str">
        <v>00</v>
      </c>
      <c r="P9" s="5" t="str">
        <v>00</v>
      </c>
      <c r="Q9" s="5" t="str">
        <v>00</v>
      </c>
      <c r="R9" s="5" t="str">
        <v>06</v>
      </c>
      <c r="S9" s="5" t="str">
        <v>02</v>
      </c>
      <c r="T9" s="5" t="str">
        <v>20</v>
      </c>
      <c r="U9" s="5" t="str">
        <v>e0</v>
      </c>
      <c r="V9" s="5" t="str">
        <v>04</v>
      </c>
      <c r="W9" s="5" t="str">
        <v>00</v>
      </c>
      <c r="X9" s="5" t="str">
        <v>29</v>
      </c>
      <c r="Y9" s="8" t="str">
        <v>24</v>
      </c>
      <c r="Z9" s="5" t="str">
        <v>80</v>
      </c>
      <c r="AA9" s="5" t="str">
        <v>af</v>
      </c>
      <c r="AB9" s="5" t="str">
        <v>0d</v>
      </c>
      <c r="AC9" s="5" t="str">
        <v>00</v>
      </c>
      <c r="AD9" s="5" t="str">
        <v>0e</v>
      </c>
      <c r="AE9" s="5" t="str">
        <v>e0</v>
      </c>
      <c r="AF9" s="5" t="str">
        <v>00</v>
      </c>
      <c r="AG9" s="5" t="str">
        <v>00</v>
      </c>
      <c r="AH9" s="5" t="str">
        <v>89</v>
      </c>
      <c r="AI9" s="5" t="str">
        <v>00</v>
      </c>
      <c r="AJ9" s="5" t="str">
        <v>00</v>
      </c>
      <c r="AK9" s="5" t="str">
        <v>06</v>
      </c>
    </row>
    <row r="10" spans="1:37" ht="22" customHeight="1" x14ac:dyDescent="0.3">
      <c r="A10" s="2" t="s">
        <v>2</v>
      </c>
      <c r="B10" s="2" t="s">
        <v>3</v>
      </c>
      <c r="C10" s="2">
        <v>18.5</v>
      </c>
      <c r="D10" s="2" t="s">
        <v>3</v>
      </c>
      <c r="E10" s="2" t="s">
        <v>3</v>
      </c>
      <c r="F10" s="6"/>
      <c r="G10" s="5" t="s">
        <v>356</v>
      </c>
      <c r="H10" s="2" t="str" cm="1">
        <f t="array" ref="H10">_xlfn.LET(
  _xlpm.parts, _xlfn.TEXTSPLIT(G10, " "),
  _xlpm.count, COUNTA(_xlpm.parts),
  _xlpm.sum, SUM(--HEX2DEC(INDEX(_xlpm.parts, _xlfn.SEQUENCE(_xlpm.count - 1)))),
  "Dec: " &amp; _xlpm.sum &amp; " | Hex: " &amp; DEC2HEX(_xlpm.sum)
)</f>
        <v>Dec: 1299 | Hex: 513</v>
      </c>
      <c r="I10" s="2" t="str">
        <f t="shared" si="1"/>
        <v>07</v>
      </c>
      <c r="J10" s="2" t="b">
        <f t="shared" si="2"/>
        <v>1</v>
      </c>
      <c r="K10" s="5" t="str" cm="1">
        <f t="array" ref="K10:AK10">_xlfn.TEXTSPLIT(G10, " ")</f>
        <v>02</v>
      </c>
      <c r="L10" s="5" t="str">
        <v>20</v>
      </c>
      <c r="M10" s="5" t="str">
        <v>e0</v>
      </c>
      <c r="N10" s="5" t="str">
        <v>04</v>
      </c>
      <c r="O10" s="5" t="str">
        <v>00</v>
      </c>
      <c r="P10" s="5" t="str">
        <v>00</v>
      </c>
      <c r="Q10" s="5" t="str">
        <v>00</v>
      </c>
      <c r="R10" s="5" t="str">
        <v>06</v>
      </c>
      <c r="S10" s="5" t="str">
        <v>02</v>
      </c>
      <c r="T10" s="5" t="str">
        <v>20</v>
      </c>
      <c r="U10" s="5" t="str">
        <v>e0</v>
      </c>
      <c r="V10" s="5" t="str">
        <v>04</v>
      </c>
      <c r="W10" s="5" t="str">
        <v>00</v>
      </c>
      <c r="X10" s="5" t="str">
        <v>29</v>
      </c>
      <c r="Y10" s="8" t="str">
        <v>25</v>
      </c>
      <c r="Z10" s="5" t="str">
        <v>80</v>
      </c>
      <c r="AA10" s="5" t="str">
        <v>af</v>
      </c>
      <c r="AB10" s="5" t="str">
        <v>0d</v>
      </c>
      <c r="AC10" s="5" t="str">
        <v>00</v>
      </c>
      <c r="AD10" s="5" t="str">
        <v>0e</v>
      </c>
      <c r="AE10" s="5" t="str">
        <v>e0</v>
      </c>
      <c r="AF10" s="5" t="str">
        <v>00</v>
      </c>
      <c r="AG10" s="5" t="str">
        <v>00</v>
      </c>
      <c r="AH10" s="5" t="str">
        <v>89</v>
      </c>
      <c r="AI10" s="5" t="str">
        <v>00</v>
      </c>
      <c r="AJ10" s="5" t="str">
        <v>00</v>
      </c>
      <c r="AK10" s="5" t="str">
        <v>07</v>
      </c>
    </row>
    <row r="11" spans="1:37" ht="22" customHeight="1" x14ac:dyDescent="0.3">
      <c r="A11" s="2" t="s">
        <v>2</v>
      </c>
      <c r="B11" s="2" t="s">
        <v>3</v>
      </c>
      <c r="C11" s="2">
        <v>19</v>
      </c>
      <c r="D11" s="2" t="s">
        <v>3</v>
      </c>
      <c r="E11" s="2" t="s">
        <v>3</v>
      </c>
      <c r="F11" s="6"/>
      <c r="G11" s="5" t="s">
        <v>355</v>
      </c>
      <c r="H11" s="2" t="str" cm="1">
        <f t="array" ref="H11">_xlfn.LET(
  _xlpm.parts, _xlfn.TEXTSPLIT(G11, " "),
  _xlpm.count, COUNTA(_xlpm.parts),
  _xlpm.sum, SUM(--HEX2DEC(INDEX(_xlpm.parts, _xlfn.SEQUENCE(_xlpm.count - 1)))),
  "Dec: " &amp; _xlpm.sum &amp; " | Hex: " &amp; DEC2HEX(_xlpm.sum)
)</f>
        <v>Dec: 1300 | Hex: 514</v>
      </c>
      <c r="I11" s="2" t="str">
        <f t="shared" si="1"/>
        <v>08</v>
      </c>
      <c r="J11" s="2" t="b">
        <f t="shared" si="2"/>
        <v>1</v>
      </c>
      <c r="K11" s="5" t="str" cm="1">
        <f t="array" ref="K11:AK11">_xlfn.TEXTSPLIT(G11, " ")</f>
        <v>02</v>
      </c>
      <c r="L11" s="5" t="str">
        <v>20</v>
      </c>
      <c r="M11" s="5" t="str">
        <v>e0</v>
      </c>
      <c r="N11" s="5" t="str">
        <v>04</v>
      </c>
      <c r="O11" s="5" t="str">
        <v>00</v>
      </c>
      <c r="P11" s="5" t="str">
        <v>00</v>
      </c>
      <c r="Q11" s="5" t="str">
        <v>00</v>
      </c>
      <c r="R11" s="5" t="str">
        <v>06</v>
      </c>
      <c r="S11" s="5" t="str">
        <v>02</v>
      </c>
      <c r="T11" s="5" t="str">
        <v>20</v>
      </c>
      <c r="U11" s="5" t="str">
        <v>e0</v>
      </c>
      <c r="V11" s="5" t="str">
        <v>04</v>
      </c>
      <c r="W11" s="5" t="str">
        <v>00</v>
      </c>
      <c r="X11" s="5" t="str">
        <v>29</v>
      </c>
      <c r="Y11" s="8" t="str">
        <v>26</v>
      </c>
      <c r="Z11" s="5" t="str">
        <v>80</v>
      </c>
      <c r="AA11" s="5" t="str">
        <v>af</v>
      </c>
      <c r="AB11" s="5" t="str">
        <v>0d</v>
      </c>
      <c r="AC11" s="5" t="str">
        <v>00</v>
      </c>
      <c r="AD11" s="5" t="str">
        <v>0e</v>
      </c>
      <c r="AE11" s="5" t="str">
        <v>e0</v>
      </c>
      <c r="AF11" s="5" t="str">
        <v>00</v>
      </c>
      <c r="AG11" s="5" t="str">
        <v>00</v>
      </c>
      <c r="AH11" s="5" t="str">
        <v>89</v>
      </c>
      <c r="AI11" s="5" t="str">
        <v>00</v>
      </c>
      <c r="AJ11" s="5" t="str">
        <v>00</v>
      </c>
      <c r="AK11" s="5" t="str">
        <v>08</v>
      </c>
    </row>
    <row r="12" spans="1:37" ht="22" customHeight="1" x14ac:dyDescent="0.3">
      <c r="A12" s="2" t="s">
        <v>2</v>
      </c>
      <c r="B12" s="2" t="s">
        <v>3</v>
      </c>
      <c r="C12" s="2">
        <v>19.5</v>
      </c>
      <c r="D12" s="2" t="s">
        <v>3</v>
      </c>
      <c r="E12" s="2" t="s">
        <v>3</v>
      </c>
      <c r="F12" s="6"/>
      <c r="G12" s="5" t="s">
        <v>358</v>
      </c>
      <c r="H12" s="2" t="str" cm="1">
        <f t="array" ref="H12">_xlfn.LET(
  _xlpm.parts, _xlfn.TEXTSPLIT(G12, " "),
  _xlpm.count, COUNTA(_xlpm.parts),
  _xlpm.sum, SUM(--HEX2DEC(INDEX(_xlpm.parts, _xlfn.SEQUENCE(_xlpm.count - 1)))),
  "Dec: " &amp; _xlpm.sum &amp; " | Hex: " &amp; DEC2HEX(_xlpm.sum)
)</f>
        <v>Dec: 1301 | Hex: 515</v>
      </c>
      <c r="I12" s="2" t="str">
        <f t="shared" si="1"/>
        <v>09</v>
      </c>
      <c r="J12" s="2" t="b">
        <f t="shared" si="2"/>
        <v>1</v>
      </c>
      <c r="K12" s="5" t="str" cm="1">
        <f t="array" ref="K12:AK12">_xlfn.TEXTSPLIT(G12, " ")</f>
        <v>02</v>
      </c>
      <c r="L12" s="5" t="str">
        <v>20</v>
      </c>
      <c r="M12" s="5" t="str">
        <v>e0</v>
      </c>
      <c r="N12" s="5" t="str">
        <v>04</v>
      </c>
      <c r="O12" s="5" t="str">
        <v>00</v>
      </c>
      <c r="P12" s="5" t="str">
        <v>00</v>
      </c>
      <c r="Q12" s="5" t="str">
        <v>00</v>
      </c>
      <c r="R12" s="5" t="str">
        <v>06</v>
      </c>
      <c r="S12" s="5" t="str">
        <v>02</v>
      </c>
      <c r="T12" s="5" t="str">
        <v>20</v>
      </c>
      <c r="U12" s="5" t="str">
        <v>e0</v>
      </c>
      <c r="V12" s="5" t="str">
        <v>04</v>
      </c>
      <c r="W12" s="5" t="str">
        <v>00</v>
      </c>
      <c r="X12" s="5" t="str">
        <v>29</v>
      </c>
      <c r="Y12" s="8" t="str">
        <v>27</v>
      </c>
      <c r="Z12" s="5" t="str">
        <v>80</v>
      </c>
      <c r="AA12" s="5" t="str">
        <v>af</v>
      </c>
      <c r="AB12" s="5" t="str">
        <v>0d</v>
      </c>
      <c r="AC12" s="5" t="str">
        <v>00</v>
      </c>
      <c r="AD12" s="5" t="str">
        <v>0e</v>
      </c>
      <c r="AE12" s="5" t="str">
        <v>e0</v>
      </c>
      <c r="AF12" s="5" t="str">
        <v>00</v>
      </c>
      <c r="AG12" s="5" t="str">
        <v>00</v>
      </c>
      <c r="AH12" s="5" t="str">
        <v>89</v>
      </c>
      <c r="AI12" s="5" t="str">
        <v>00</v>
      </c>
      <c r="AJ12" s="5" t="str">
        <v>00</v>
      </c>
      <c r="AK12" s="5" t="str">
        <v>09</v>
      </c>
    </row>
    <row r="13" spans="1:37" ht="22" customHeight="1" x14ac:dyDescent="0.3">
      <c r="A13" s="2" t="s">
        <v>2</v>
      </c>
      <c r="B13" s="2" t="s">
        <v>3</v>
      </c>
      <c r="C13" s="2">
        <v>20</v>
      </c>
      <c r="D13" s="2" t="s">
        <v>3</v>
      </c>
      <c r="E13" s="2" t="s">
        <v>3</v>
      </c>
      <c r="F13" s="6"/>
      <c r="G13" s="5" t="s">
        <v>359</v>
      </c>
      <c r="H13" s="2" t="str" cm="1">
        <f t="array" ref="H13">_xlfn.LET(
  _xlpm.parts, _xlfn.TEXTSPLIT(G13, " "),
  _xlpm.count, COUNTA(_xlpm.parts),
  _xlpm.sum, SUM(--HEX2DEC(INDEX(_xlpm.parts, _xlfn.SEQUENCE(_xlpm.count - 1)))),
  "Dec: " &amp; _xlpm.sum &amp; " | Hex: " &amp; DEC2HEX(_xlpm.sum)
)</f>
        <v>Dec: 1302 | Hex: 516</v>
      </c>
      <c r="I13" s="2" t="str">
        <f t="shared" si="1"/>
        <v>0A</v>
      </c>
      <c r="J13" s="2" t="b">
        <f t="shared" si="2"/>
        <v>1</v>
      </c>
      <c r="K13" s="5" t="str" cm="1">
        <f t="array" ref="K13:AK13">_xlfn.TEXTSPLIT(G13, " ")</f>
        <v>02</v>
      </c>
      <c r="L13" s="5" t="str">
        <v>20</v>
      </c>
      <c r="M13" s="5" t="str">
        <v>e0</v>
      </c>
      <c r="N13" s="5" t="str">
        <v>04</v>
      </c>
      <c r="O13" s="5" t="str">
        <v>00</v>
      </c>
      <c r="P13" s="5" t="str">
        <v>00</v>
      </c>
      <c r="Q13" s="5" t="str">
        <v>00</v>
      </c>
      <c r="R13" s="5" t="str">
        <v>06</v>
      </c>
      <c r="S13" s="5" t="str">
        <v>02</v>
      </c>
      <c r="T13" s="5" t="str">
        <v>20</v>
      </c>
      <c r="U13" s="5" t="str">
        <v>e0</v>
      </c>
      <c r="V13" s="5" t="str">
        <v>04</v>
      </c>
      <c r="W13" s="5" t="str">
        <v>00</v>
      </c>
      <c r="X13" s="5" t="str">
        <v>29</v>
      </c>
      <c r="Y13" s="8" t="str">
        <v>28</v>
      </c>
      <c r="Z13" s="5" t="str">
        <v>80</v>
      </c>
      <c r="AA13" s="5" t="str">
        <v>af</v>
      </c>
      <c r="AB13" s="5" t="str">
        <v>0d</v>
      </c>
      <c r="AC13" s="5" t="str">
        <v>00</v>
      </c>
      <c r="AD13" s="5" t="str">
        <v>0e</v>
      </c>
      <c r="AE13" s="5" t="str">
        <v>e0</v>
      </c>
      <c r="AF13" s="5" t="str">
        <v>00</v>
      </c>
      <c r="AG13" s="5" t="str">
        <v>00</v>
      </c>
      <c r="AH13" s="5" t="str">
        <v>89</v>
      </c>
      <c r="AI13" s="5" t="str">
        <v>00</v>
      </c>
      <c r="AJ13" s="5" t="str">
        <v>00</v>
      </c>
      <c r="AK13" s="5" t="str">
        <v>0a</v>
      </c>
    </row>
    <row r="14" spans="1:37" ht="22" customHeight="1" x14ac:dyDescent="0.3">
      <c r="A14" s="2" t="s">
        <v>2</v>
      </c>
      <c r="B14" s="2" t="s">
        <v>3</v>
      </c>
      <c r="C14" s="2">
        <v>20.5</v>
      </c>
      <c r="D14" s="2" t="s">
        <v>3</v>
      </c>
      <c r="E14" s="2" t="s">
        <v>3</v>
      </c>
      <c r="F14" s="6"/>
      <c r="G14" s="5" t="s">
        <v>360</v>
      </c>
      <c r="H14" s="2" t="str" cm="1">
        <f t="array" ref="H14">_xlfn.LET(
  _xlpm.parts, _xlfn.TEXTSPLIT(G14, " "),
  _xlpm.count, COUNTA(_xlpm.parts),
  _xlpm.sum, SUM(--HEX2DEC(INDEX(_xlpm.parts, _xlfn.SEQUENCE(_xlpm.count - 1)))),
  "Dec: " &amp; _xlpm.sum &amp; " | Hex: " &amp; DEC2HEX(_xlpm.sum)
)</f>
        <v>Dec: 1303 | Hex: 517</v>
      </c>
      <c r="I14" s="2" t="str">
        <f t="shared" si="1"/>
        <v>0B</v>
      </c>
      <c r="J14" s="2" t="b">
        <f t="shared" si="2"/>
        <v>1</v>
      </c>
      <c r="K14" s="5" t="str" cm="1">
        <f t="array" ref="K14:AK14">_xlfn.TEXTSPLIT(G14, " ")</f>
        <v>02</v>
      </c>
      <c r="L14" s="5" t="str">
        <v>20</v>
      </c>
      <c r="M14" s="5" t="str">
        <v>e0</v>
      </c>
      <c r="N14" s="5" t="str">
        <v>04</v>
      </c>
      <c r="O14" s="5" t="str">
        <v>00</v>
      </c>
      <c r="P14" s="5" t="str">
        <v>00</v>
      </c>
      <c r="Q14" s="5" t="str">
        <v>00</v>
      </c>
      <c r="R14" s="5" t="str">
        <v>06</v>
      </c>
      <c r="S14" s="5" t="str">
        <v>02</v>
      </c>
      <c r="T14" s="5" t="str">
        <v>20</v>
      </c>
      <c r="U14" s="5" t="str">
        <v>e0</v>
      </c>
      <c r="V14" s="5" t="str">
        <v>04</v>
      </c>
      <c r="W14" s="5" t="str">
        <v>00</v>
      </c>
      <c r="X14" s="5" t="str">
        <v>29</v>
      </c>
      <c r="Y14" s="8" t="str">
        <v>29</v>
      </c>
      <c r="Z14" s="5" t="str">
        <v>80</v>
      </c>
      <c r="AA14" s="5" t="str">
        <v>af</v>
      </c>
      <c r="AB14" s="5" t="str">
        <v>0d</v>
      </c>
      <c r="AC14" s="5" t="str">
        <v>00</v>
      </c>
      <c r="AD14" s="5" t="str">
        <v>0e</v>
      </c>
      <c r="AE14" s="5" t="str">
        <v>e0</v>
      </c>
      <c r="AF14" s="5" t="str">
        <v>00</v>
      </c>
      <c r="AG14" s="5" t="str">
        <v>00</v>
      </c>
      <c r="AH14" s="5" t="str">
        <v>89</v>
      </c>
      <c r="AI14" s="5" t="str">
        <v>00</v>
      </c>
      <c r="AJ14" s="5" t="str">
        <v>00</v>
      </c>
      <c r="AK14" s="5" t="str">
        <v>0b</v>
      </c>
    </row>
    <row r="15" spans="1:37" ht="22" customHeight="1" x14ac:dyDescent="0.3">
      <c r="A15" s="2" t="s">
        <v>2</v>
      </c>
      <c r="B15" s="2" t="s">
        <v>3</v>
      </c>
      <c r="C15" s="2">
        <v>21</v>
      </c>
      <c r="D15" s="2" t="s">
        <v>3</v>
      </c>
      <c r="E15" s="2" t="s">
        <v>3</v>
      </c>
      <c r="F15" s="6"/>
      <c r="G15" s="5" t="s">
        <v>361</v>
      </c>
      <c r="H15" s="2" t="str" cm="1">
        <f t="array" ref="H15">_xlfn.LET(
  _xlpm.parts, _xlfn.TEXTSPLIT(G15, " "),
  _xlpm.count, COUNTA(_xlpm.parts),
  _xlpm.sum, SUM(--HEX2DEC(INDEX(_xlpm.parts, _xlfn.SEQUENCE(_xlpm.count - 1)))),
  "Dec: " &amp; _xlpm.sum &amp; " | Hex: " &amp; DEC2HEX(_xlpm.sum)
)</f>
        <v>Dec: 1304 | Hex: 518</v>
      </c>
      <c r="I15" s="2" t="str">
        <f t="shared" si="1"/>
        <v>0C</v>
      </c>
      <c r="J15" s="2" t="b">
        <f t="shared" si="2"/>
        <v>1</v>
      </c>
      <c r="K15" s="5" t="str" cm="1">
        <f t="array" ref="K15:AK15">_xlfn.TEXTSPLIT(G15, " ")</f>
        <v>02</v>
      </c>
      <c r="L15" s="5" t="str">
        <v>20</v>
      </c>
      <c r="M15" s="5" t="str">
        <v>e0</v>
      </c>
      <c r="N15" s="5" t="str">
        <v>04</v>
      </c>
      <c r="O15" s="5" t="str">
        <v>00</v>
      </c>
      <c r="P15" s="5" t="str">
        <v>00</v>
      </c>
      <c r="Q15" s="5" t="str">
        <v>00</v>
      </c>
      <c r="R15" s="5" t="str">
        <v>06</v>
      </c>
      <c r="S15" s="5" t="str">
        <v>02</v>
      </c>
      <c r="T15" s="5" t="str">
        <v>20</v>
      </c>
      <c r="U15" s="5" t="str">
        <v>e0</v>
      </c>
      <c r="V15" s="5" t="str">
        <v>04</v>
      </c>
      <c r="W15" s="5" t="str">
        <v>00</v>
      </c>
      <c r="X15" s="5" t="str">
        <v>29</v>
      </c>
      <c r="Y15" s="8" t="str">
        <v>2a</v>
      </c>
      <c r="Z15" s="5" t="str">
        <v>80</v>
      </c>
      <c r="AA15" s="5" t="str">
        <v>af</v>
      </c>
      <c r="AB15" s="5" t="str">
        <v>0d</v>
      </c>
      <c r="AC15" s="5" t="str">
        <v>00</v>
      </c>
      <c r="AD15" s="5" t="str">
        <v>0e</v>
      </c>
      <c r="AE15" s="5" t="str">
        <v>e0</v>
      </c>
      <c r="AF15" s="5" t="str">
        <v>00</v>
      </c>
      <c r="AG15" s="5" t="str">
        <v>00</v>
      </c>
      <c r="AH15" s="5" t="str">
        <v>89</v>
      </c>
      <c r="AI15" s="5" t="str">
        <v>00</v>
      </c>
      <c r="AJ15" s="5" t="str">
        <v>00</v>
      </c>
      <c r="AK15" s="5" t="str">
        <v>0c</v>
      </c>
    </row>
    <row r="16" spans="1:37" ht="22" customHeight="1" x14ac:dyDescent="0.3">
      <c r="A16" s="2" t="s">
        <v>2</v>
      </c>
      <c r="B16" s="2" t="s">
        <v>3</v>
      </c>
      <c r="C16" s="2">
        <v>21.5</v>
      </c>
      <c r="D16" s="2" t="s">
        <v>3</v>
      </c>
      <c r="E16" s="2" t="s">
        <v>3</v>
      </c>
      <c r="F16" s="6"/>
      <c r="G16" s="5" t="s">
        <v>362</v>
      </c>
      <c r="H16" s="2" t="str" cm="1">
        <f t="array" ref="H16">_xlfn.LET(
  _xlpm.parts, _xlfn.TEXTSPLIT(G16, " "),
  _xlpm.count, COUNTA(_xlpm.parts),
  _xlpm.sum, SUM(--HEX2DEC(INDEX(_xlpm.parts, _xlfn.SEQUENCE(_xlpm.count - 1)))),
  "Dec: " &amp; _xlpm.sum &amp; " | Hex: " &amp; DEC2HEX(_xlpm.sum)
)</f>
        <v>Dec: 1305 | Hex: 519</v>
      </c>
      <c r="I16" s="2" t="str">
        <f t="shared" si="1"/>
        <v>0D</v>
      </c>
      <c r="J16" s="2" t="b">
        <f t="shared" si="2"/>
        <v>1</v>
      </c>
      <c r="K16" s="5" t="str" cm="1">
        <f t="array" ref="K16:AK16">_xlfn.TEXTSPLIT(G16, " ")</f>
        <v>02</v>
      </c>
      <c r="L16" s="5" t="str">
        <v>20</v>
      </c>
      <c r="M16" s="5" t="str">
        <v>e0</v>
      </c>
      <c r="N16" s="5" t="str">
        <v>04</v>
      </c>
      <c r="O16" s="5" t="str">
        <v>00</v>
      </c>
      <c r="P16" s="5" t="str">
        <v>00</v>
      </c>
      <c r="Q16" s="5" t="str">
        <v>00</v>
      </c>
      <c r="R16" s="5" t="str">
        <v>06</v>
      </c>
      <c r="S16" s="5" t="str">
        <v>02</v>
      </c>
      <c r="T16" s="5" t="str">
        <v>20</v>
      </c>
      <c r="U16" s="5" t="str">
        <v>e0</v>
      </c>
      <c r="V16" s="5" t="str">
        <v>04</v>
      </c>
      <c r="W16" s="5" t="str">
        <v>00</v>
      </c>
      <c r="X16" s="5" t="str">
        <v>29</v>
      </c>
      <c r="Y16" s="8" t="str">
        <v>2b</v>
      </c>
      <c r="Z16" s="5" t="str">
        <v>80</v>
      </c>
      <c r="AA16" s="5" t="str">
        <v>af</v>
      </c>
      <c r="AB16" s="5" t="str">
        <v>0d</v>
      </c>
      <c r="AC16" s="5" t="str">
        <v>00</v>
      </c>
      <c r="AD16" s="5" t="str">
        <v>0e</v>
      </c>
      <c r="AE16" s="5" t="str">
        <v>e0</v>
      </c>
      <c r="AF16" s="5" t="str">
        <v>00</v>
      </c>
      <c r="AG16" s="5" t="str">
        <v>00</v>
      </c>
      <c r="AH16" s="5" t="str">
        <v>89</v>
      </c>
      <c r="AI16" s="5" t="str">
        <v>00</v>
      </c>
      <c r="AJ16" s="5" t="str">
        <v>00</v>
      </c>
      <c r="AK16" s="5" t="str">
        <v>0d</v>
      </c>
    </row>
    <row r="17" spans="1:37" ht="22" customHeight="1" x14ac:dyDescent="0.3">
      <c r="A17" s="2" t="s">
        <v>2</v>
      </c>
      <c r="B17" s="2" t="s">
        <v>3</v>
      </c>
      <c r="C17" s="2">
        <v>22</v>
      </c>
      <c r="D17" s="2" t="s">
        <v>3</v>
      </c>
      <c r="E17" s="2" t="s">
        <v>3</v>
      </c>
      <c r="F17" s="6"/>
      <c r="G17" s="5" t="s">
        <v>363</v>
      </c>
      <c r="H17" s="2" t="str" cm="1">
        <f t="array" ref="H17">_xlfn.LET(
  _xlpm.parts, _xlfn.TEXTSPLIT(G17, " "),
  _xlpm.count, COUNTA(_xlpm.parts),
  _xlpm.sum, SUM(--HEX2DEC(INDEX(_xlpm.parts, _xlfn.SEQUENCE(_xlpm.count - 1)))),
  "Dec: " &amp; _xlpm.sum &amp; " | Hex: " &amp; DEC2HEX(_xlpm.sum)
)</f>
        <v>Dec: 1306 | Hex: 51A</v>
      </c>
      <c r="I17" s="2" t="str">
        <f t="shared" si="1"/>
        <v>0E</v>
      </c>
      <c r="J17" s="2" t="b">
        <f t="shared" si="2"/>
        <v>1</v>
      </c>
      <c r="K17" s="5" t="str" cm="1">
        <f t="array" ref="K17:AK17">_xlfn.TEXTSPLIT(G17, " ")</f>
        <v>02</v>
      </c>
      <c r="L17" s="5" t="str">
        <v>20</v>
      </c>
      <c r="M17" s="5" t="str">
        <v>e0</v>
      </c>
      <c r="N17" s="5" t="str">
        <v>04</v>
      </c>
      <c r="O17" s="5" t="str">
        <v>00</v>
      </c>
      <c r="P17" s="5" t="str">
        <v>00</v>
      </c>
      <c r="Q17" s="5" t="str">
        <v>00</v>
      </c>
      <c r="R17" s="5" t="str">
        <v>06</v>
      </c>
      <c r="S17" s="5" t="str">
        <v>02</v>
      </c>
      <c r="T17" s="5" t="str">
        <v>20</v>
      </c>
      <c r="U17" s="5" t="str">
        <v>e0</v>
      </c>
      <c r="V17" s="5" t="str">
        <v>04</v>
      </c>
      <c r="W17" s="5" t="str">
        <v>00</v>
      </c>
      <c r="X17" s="5" t="str">
        <v>29</v>
      </c>
      <c r="Y17" s="8" t="str">
        <v>2c</v>
      </c>
      <c r="Z17" s="5" t="str">
        <v>80</v>
      </c>
      <c r="AA17" s="5" t="str">
        <v>af</v>
      </c>
      <c r="AB17" s="5" t="str">
        <v>0d</v>
      </c>
      <c r="AC17" s="5" t="str">
        <v>00</v>
      </c>
      <c r="AD17" s="5" t="str">
        <v>0e</v>
      </c>
      <c r="AE17" s="5" t="str">
        <v>e0</v>
      </c>
      <c r="AF17" s="5" t="str">
        <v>00</v>
      </c>
      <c r="AG17" s="5" t="str">
        <v>00</v>
      </c>
      <c r="AH17" s="5" t="str">
        <v>89</v>
      </c>
      <c r="AI17" s="5" t="str">
        <v>00</v>
      </c>
      <c r="AJ17" s="5" t="str">
        <v>00</v>
      </c>
      <c r="AK17" s="5" t="str">
        <v>0e</v>
      </c>
    </row>
    <row r="18" spans="1:37" ht="22" customHeight="1" x14ac:dyDescent="0.3">
      <c r="A18" s="2" t="s">
        <v>2</v>
      </c>
      <c r="B18" s="2" t="s">
        <v>3</v>
      </c>
      <c r="C18" s="2">
        <v>22.5</v>
      </c>
      <c r="D18" s="2" t="s">
        <v>3</v>
      </c>
      <c r="E18" s="2" t="s">
        <v>3</v>
      </c>
      <c r="F18" s="6"/>
      <c r="G18" s="5" t="s">
        <v>364</v>
      </c>
      <c r="H18" s="2" t="str" cm="1">
        <f t="array" ref="H18">_xlfn.LET(
  _xlpm.parts, _xlfn.TEXTSPLIT(G18, " "),
  _xlpm.count, COUNTA(_xlpm.parts),
  _xlpm.sum, SUM(--HEX2DEC(INDEX(_xlpm.parts, _xlfn.SEQUENCE(_xlpm.count - 1)))),
  "Dec: " &amp; _xlpm.sum &amp; " | Hex: " &amp; DEC2HEX(_xlpm.sum)
)</f>
        <v>Dec: 1307 | Hex: 51B</v>
      </c>
      <c r="I18" s="2" t="str">
        <f t="shared" si="1"/>
        <v>0F</v>
      </c>
      <c r="J18" s="2" t="b">
        <f t="shared" si="2"/>
        <v>1</v>
      </c>
      <c r="K18" s="5" t="str" cm="1">
        <f t="array" ref="K18:AK18">_xlfn.TEXTSPLIT(G18, " ")</f>
        <v>02</v>
      </c>
      <c r="L18" s="5" t="str">
        <v>20</v>
      </c>
      <c r="M18" s="5" t="str">
        <v>e0</v>
      </c>
      <c r="N18" s="5" t="str">
        <v>04</v>
      </c>
      <c r="O18" s="5" t="str">
        <v>00</v>
      </c>
      <c r="P18" s="5" t="str">
        <v>00</v>
      </c>
      <c r="Q18" s="5" t="str">
        <v>00</v>
      </c>
      <c r="R18" s="5" t="str">
        <v>06</v>
      </c>
      <c r="S18" s="5" t="str">
        <v>02</v>
      </c>
      <c r="T18" s="5" t="str">
        <v>20</v>
      </c>
      <c r="U18" s="5" t="str">
        <v>e0</v>
      </c>
      <c r="V18" s="5" t="str">
        <v>04</v>
      </c>
      <c r="W18" s="5" t="str">
        <v>00</v>
      </c>
      <c r="X18" s="5" t="str">
        <v>29</v>
      </c>
      <c r="Y18" s="8" t="str">
        <v>2d</v>
      </c>
      <c r="Z18" s="5" t="str">
        <v>80</v>
      </c>
      <c r="AA18" s="5" t="str">
        <v>af</v>
      </c>
      <c r="AB18" s="5" t="str">
        <v>0d</v>
      </c>
      <c r="AC18" s="5" t="str">
        <v>00</v>
      </c>
      <c r="AD18" s="5" t="str">
        <v>0e</v>
      </c>
      <c r="AE18" s="5" t="str">
        <v>e0</v>
      </c>
      <c r="AF18" s="5" t="str">
        <v>00</v>
      </c>
      <c r="AG18" s="5" t="str">
        <v>00</v>
      </c>
      <c r="AH18" s="5" t="str">
        <v>89</v>
      </c>
      <c r="AI18" s="5" t="str">
        <v>00</v>
      </c>
      <c r="AJ18" s="5" t="str">
        <v>00</v>
      </c>
      <c r="AK18" s="5" t="str">
        <v>0f</v>
      </c>
    </row>
    <row r="19" spans="1:37" ht="22" customHeight="1" x14ac:dyDescent="0.3">
      <c r="A19" s="2" t="s">
        <v>2</v>
      </c>
      <c r="B19" s="2" t="s">
        <v>3</v>
      </c>
      <c r="C19" s="2">
        <v>23</v>
      </c>
      <c r="D19" s="2" t="s">
        <v>3</v>
      </c>
      <c r="E19" s="2" t="s">
        <v>3</v>
      </c>
      <c r="F19" s="6"/>
      <c r="G19" s="5" t="s">
        <v>365</v>
      </c>
      <c r="H19" s="2" t="str" cm="1">
        <f t="array" ref="H19">_xlfn.LET(
  _xlpm.parts, _xlfn.TEXTSPLIT(G19, " "),
  _xlpm.count, COUNTA(_xlpm.parts),
  _xlpm.sum, SUM(--HEX2DEC(INDEX(_xlpm.parts, _xlfn.SEQUENCE(_xlpm.count - 1)))),
  "Dec: " &amp; _xlpm.sum &amp; " | Hex: " &amp; DEC2HEX(_xlpm.sum)
)</f>
        <v>Dec: 1308 | Hex: 51C</v>
      </c>
      <c r="I19" s="2" t="str">
        <f t="shared" si="1"/>
        <v>10</v>
      </c>
      <c r="J19" s="2" t="b">
        <f t="shared" si="2"/>
        <v>1</v>
      </c>
      <c r="K19" s="5" t="str" cm="1">
        <f t="array" ref="K19:AK19">_xlfn.TEXTSPLIT(G19, " ")</f>
        <v>02</v>
      </c>
      <c r="L19" s="5" t="str">
        <v>20</v>
      </c>
      <c r="M19" s="5" t="str">
        <v>e0</v>
      </c>
      <c r="N19" s="5" t="str">
        <v>04</v>
      </c>
      <c r="O19" s="5" t="str">
        <v>00</v>
      </c>
      <c r="P19" s="5" t="str">
        <v>00</v>
      </c>
      <c r="Q19" s="5" t="str">
        <v>00</v>
      </c>
      <c r="R19" s="5" t="str">
        <v>06</v>
      </c>
      <c r="S19" s="5" t="str">
        <v>02</v>
      </c>
      <c r="T19" s="5" t="str">
        <v>20</v>
      </c>
      <c r="U19" s="5" t="str">
        <v>e0</v>
      </c>
      <c r="V19" s="5" t="str">
        <v>04</v>
      </c>
      <c r="W19" s="5" t="str">
        <v>00</v>
      </c>
      <c r="X19" s="5" t="str">
        <v>29</v>
      </c>
      <c r="Y19" s="8" t="str">
        <v>2e</v>
      </c>
      <c r="Z19" s="5" t="str">
        <v>80</v>
      </c>
      <c r="AA19" s="5" t="str">
        <v>af</v>
      </c>
      <c r="AB19" s="5" t="str">
        <v>0d</v>
      </c>
      <c r="AC19" s="5" t="str">
        <v>00</v>
      </c>
      <c r="AD19" s="5" t="str">
        <v>0e</v>
      </c>
      <c r="AE19" s="5" t="str">
        <v>e0</v>
      </c>
      <c r="AF19" s="5" t="str">
        <v>00</v>
      </c>
      <c r="AG19" s="5" t="str">
        <v>00</v>
      </c>
      <c r="AH19" s="5" t="str">
        <v>89</v>
      </c>
      <c r="AI19" s="5" t="str">
        <v>00</v>
      </c>
      <c r="AJ19" s="5" t="str">
        <v>00</v>
      </c>
      <c r="AK19" s="5" t="str">
        <v>10</v>
      </c>
    </row>
    <row r="20" spans="1:37" ht="22" customHeight="1" x14ac:dyDescent="0.3">
      <c r="A20" s="2" t="s">
        <v>2</v>
      </c>
      <c r="B20" s="2" t="s">
        <v>3</v>
      </c>
      <c r="C20" s="2">
        <v>23.5</v>
      </c>
      <c r="D20" s="2" t="s">
        <v>3</v>
      </c>
      <c r="E20" s="2" t="s">
        <v>3</v>
      </c>
      <c r="F20" s="6"/>
      <c r="G20" s="5" t="s">
        <v>366</v>
      </c>
      <c r="H20" s="2" t="str" cm="1">
        <f t="array" ref="H20">_xlfn.LET(
  _xlpm.parts, _xlfn.TEXTSPLIT(G20, " "),
  _xlpm.count, COUNTA(_xlpm.parts),
  _xlpm.sum, SUM(--HEX2DEC(INDEX(_xlpm.parts, _xlfn.SEQUENCE(_xlpm.count - 1)))),
  "Dec: " &amp; _xlpm.sum &amp; " | Hex: " &amp; DEC2HEX(_xlpm.sum)
)</f>
        <v>Dec: 1309 | Hex: 51D</v>
      </c>
      <c r="I20" s="2" t="str">
        <f t="shared" si="1"/>
        <v>11</v>
      </c>
      <c r="J20" s="2" t="b">
        <f t="shared" si="2"/>
        <v>1</v>
      </c>
      <c r="K20" s="5" t="str" cm="1">
        <f t="array" ref="K20:AK20">_xlfn.TEXTSPLIT(G20, " ")</f>
        <v>02</v>
      </c>
      <c r="L20" s="5" t="str">
        <v>20</v>
      </c>
      <c r="M20" s="5" t="str">
        <v>e0</v>
      </c>
      <c r="N20" s="5" t="str">
        <v>04</v>
      </c>
      <c r="O20" s="5" t="str">
        <v>00</v>
      </c>
      <c r="P20" s="5" t="str">
        <v>00</v>
      </c>
      <c r="Q20" s="5" t="str">
        <v>00</v>
      </c>
      <c r="R20" s="5" t="str">
        <v>06</v>
      </c>
      <c r="S20" s="5" t="str">
        <v>02</v>
      </c>
      <c r="T20" s="5" t="str">
        <v>20</v>
      </c>
      <c r="U20" s="5" t="str">
        <v>e0</v>
      </c>
      <c r="V20" s="5" t="str">
        <v>04</v>
      </c>
      <c r="W20" s="5" t="str">
        <v>00</v>
      </c>
      <c r="X20" s="5" t="str">
        <v>29</v>
      </c>
      <c r="Y20" s="8" t="str">
        <v>2f</v>
      </c>
      <c r="Z20" s="5" t="str">
        <v>80</v>
      </c>
      <c r="AA20" s="5" t="str">
        <v>af</v>
      </c>
      <c r="AB20" s="5" t="str">
        <v>0d</v>
      </c>
      <c r="AC20" s="5" t="str">
        <v>00</v>
      </c>
      <c r="AD20" s="5" t="str">
        <v>0e</v>
      </c>
      <c r="AE20" s="5" t="str">
        <v>e0</v>
      </c>
      <c r="AF20" s="5" t="str">
        <v>00</v>
      </c>
      <c r="AG20" s="5" t="str">
        <v>00</v>
      </c>
      <c r="AH20" s="5" t="str">
        <v>89</v>
      </c>
      <c r="AI20" s="5" t="str">
        <v>00</v>
      </c>
      <c r="AJ20" s="5" t="str">
        <v>00</v>
      </c>
      <c r="AK20" s="5" t="str">
        <v>11</v>
      </c>
    </row>
    <row r="21" spans="1:37" ht="22" customHeight="1" x14ac:dyDescent="0.3">
      <c r="A21" s="2" t="s">
        <v>2</v>
      </c>
      <c r="B21" s="2" t="s">
        <v>3</v>
      </c>
      <c r="C21" s="2">
        <v>24</v>
      </c>
      <c r="D21" s="2" t="s">
        <v>3</v>
      </c>
      <c r="E21" s="2" t="s">
        <v>3</v>
      </c>
      <c r="F21" s="6"/>
      <c r="G21" s="5" t="s">
        <v>367</v>
      </c>
      <c r="H21" s="2" t="str" cm="1">
        <f t="array" ref="H21">_xlfn.LET(
  _xlpm.parts, _xlfn.TEXTSPLIT(G21, " "),
  _xlpm.count, COUNTA(_xlpm.parts),
  _xlpm.sum, SUM(--HEX2DEC(INDEX(_xlpm.parts, _xlfn.SEQUENCE(_xlpm.count - 1)))),
  "Dec: " &amp; _xlpm.sum &amp; " | Hex: " &amp; DEC2HEX(_xlpm.sum)
)</f>
        <v>Dec: 1310 | Hex: 51E</v>
      </c>
      <c r="I21" s="2" t="str">
        <f t="shared" si="1"/>
        <v>12</v>
      </c>
      <c r="J21" s="2" t="b">
        <f t="shared" si="2"/>
        <v>1</v>
      </c>
      <c r="K21" s="5" t="str" cm="1">
        <f t="array" ref="K21:AK21">_xlfn.TEXTSPLIT(G21, " ")</f>
        <v>02</v>
      </c>
      <c r="L21" s="5" t="str">
        <v>20</v>
      </c>
      <c r="M21" s="5" t="str">
        <v>e0</v>
      </c>
      <c r="N21" s="5" t="str">
        <v>04</v>
      </c>
      <c r="O21" s="5" t="str">
        <v>00</v>
      </c>
      <c r="P21" s="5" t="str">
        <v>00</v>
      </c>
      <c r="Q21" s="5" t="str">
        <v>00</v>
      </c>
      <c r="R21" s="5" t="str">
        <v>06</v>
      </c>
      <c r="S21" s="5" t="str">
        <v>02</v>
      </c>
      <c r="T21" s="5" t="str">
        <v>20</v>
      </c>
      <c r="U21" s="5" t="str">
        <v>e0</v>
      </c>
      <c r="V21" s="5" t="str">
        <v>04</v>
      </c>
      <c r="W21" s="5" t="str">
        <v>00</v>
      </c>
      <c r="X21" s="5" t="str">
        <v>29</v>
      </c>
      <c r="Y21" s="8" t="str">
        <v>30</v>
      </c>
      <c r="Z21" s="5" t="str">
        <v>80</v>
      </c>
      <c r="AA21" s="5" t="str">
        <v>af</v>
      </c>
      <c r="AB21" s="5" t="str">
        <v>0d</v>
      </c>
      <c r="AC21" s="5" t="str">
        <v>00</v>
      </c>
      <c r="AD21" s="5" t="str">
        <v>0e</v>
      </c>
      <c r="AE21" s="5" t="str">
        <v>e0</v>
      </c>
      <c r="AF21" s="5" t="str">
        <v>00</v>
      </c>
      <c r="AG21" s="5" t="str">
        <v>00</v>
      </c>
      <c r="AH21" s="5" t="str">
        <v>89</v>
      </c>
      <c r="AI21" s="5" t="str">
        <v>00</v>
      </c>
      <c r="AJ21" s="5" t="str">
        <v>00</v>
      </c>
      <c r="AK21" s="5" t="str">
        <v>12</v>
      </c>
    </row>
    <row r="22" spans="1:37" ht="22" customHeight="1" x14ac:dyDescent="0.3">
      <c r="A22" s="2" t="s">
        <v>2</v>
      </c>
      <c r="B22" s="2" t="s">
        <v>3</v>
      </c>
      <c r="C22" s="2">
        <v>24.5</v>
      </c>
      <c r="D22" s="2" t="s">
        <v>3</v>
      </c>
      <c r="E22" s="2" t="s">
        <v>3</v>
      </c>
      <c r="F22" s="6"/>
      <c r="G22" s="5" t="s">
        <v>368</v>
      </c>
      <c r="H22" s="2" t="str" cm="1">
        <f t="array" ref="H22">_xlfn.LET(
  _xlpm.parts, _xlfn.TEXTSPLIT(G22, " "),
  _xlpm.count, COUNTA(_xlpm.parts),
  _xlpm.sum, SUM(--HEX2DEC(INDEX(_xlpm.parts, _xlfn.SEQUENCE(_xlpm.count - 1)))),
  "Dec: " &amp; _xlpm.sum &amp; " | Hex: " &amp; DEC2HEX(_xlpm.sum)
)</f>
        <v>Dec: 1311 | Hex: 51F</v>
      </c>
      <c r="I22" s="2" t="str">
        <f t="shared" si="1"/>
        <v>13</v>
      </c>
      <c r="J22" s="2" t="b">
        <f t="shared" si="2"/>
        <v>1</v>
      </c>
      <c r="K22" s="5" t="str" cm="1">
        <f t="array" ref="K22:AK22">_xlfn.TEXTSPLIT(G22, " ")</f>
        <v>02</v>
      </c>
      <c r="L22" s="5" t="str">
        <v>20</v>
      </c>
      <c r="M22" s="5" t="str">
        <v>e0</v>
      </c>
      <c r="N22" s="5" t="str">
        <v>04</v>
      </c>
      <c r="O22" s="5" t="str">
        <v>00</v>
      </c>
      <c r="P22" s="5" t="str">
        <v>00</v>
      </c>
      <c r="Q22" s="5" t="str">
        <v>00</v>
      </c>
      <c r="R22" s="5" t="str">
        <v>06</v>
      </c>
      <c r="S22" s="5" t="str">
        <v>02</v>
      </c>
      <c r="T22" s="5" t="str">
        <v>20</v>
      </c>
      <c r="U22" s="5" t="str">
        <v>e0</v>
      </c>
      <c r="V22" s="5" t="str">
        <v>04</v>
      </c>
      <c r="W22" s="5" t="str">
        <v>00</v>
      </c>
      <c r="X22" s="5" t="str">
        <v>29</v>
      </c>
      <c r="Y22" s="8" t="str">
        <v>31</v>
      </c>
      <c r="Z22" s="5" t="str">
        <v>80</v>
      </c>
      <c r="AA22" s="5" t="str">
        <v>af</v>
      </c>
      <c r="AB22" s="5" t="str">
        <v>0d</v>
      </c>
      <c r="AC22" s="5" t="str">
        <v>00</v>
      </c>
      <c r="AD22" s="5" t="str">
        <v>0e</v>
      </c>
      <c r="AE22" s="5" t="str">
        <v>e0</v>
      </c>
      <c r="AF22" s="5" t="str">
        <v>00</v>
      </c>
      <c r="AG22" s="5" t="str">
        <v>00</v>
      </c>
      <c r="AH22" s="5" t="str">
        <v>89</v>
      </c>
      <c r="AI22" s="5" t="str">
        <v>00</v>
      </c>
      <c r="AJ22" s="5" t="str">
        <v>00</v>
      </c>
      <c r="AK22" s="5" t="str">
        <v>13</v>
      </c>
    </row>
    <row r="23" spans="1:37" ht="22" customHeight="1" x14ac:dyDescent="0.3">
      <c r="A23" s="2" t="s">
        <v>2</v>
      </c>
      <c r="B23" s="2" t="s">
        <v>3</v>
      </c>
      <c r="C23" s="2">
        <v>25</v>
      </c>
      <c r="D23" s="2" t="s">
        <v>3</v>
      </c>
      <c r="E23" s="2" t="s">
        <v>3</v>
      </c>
      <c r="F23" s="6"/>
      <c r="G23" s="5" t="s">
        <v>369</v>
      </c>
      <c r="H23" s="2" t="str" cm="1">
        <f t="array" ref="H23">_xlfn.LET(
  _xlpm.parts, _xlfn.TEXTSPLIT(G23, " "),
  _xlpm.count, COUNTA(_xlpm.parts),
  _xlpm.sum, SUM(--HEX2DEC(INDEX(_xlpm.parts, _xlfn.SEQUENCE(_xlpm.count - 1)))),
  "Dec: " &amp; _xlpm.sum &amp; " | Hex: " &amp; DEC2HEX(_xlpm.sum)
)</f>
        <v>Dec: 1312 | Hex: 520</v>
      </c>
      <c r="I23" s="2" t="str">
        <f t="shared" si="1"/>
        <v>14</v>
      </c>
      <c r="J23" s="2" t="b">
        <f t="shared" si="2"/>
        <v>1</v>
      </c>
      <c r="K23" s="5" t="str" cm="1">
        <f t="array" ref="K23:AK23">_xlfn.TEXTSPLIT(G23, " ")</f>
        <v>02</v>
      </c>
      <c r="L23" s="5" t="str">
        <v>20</v>
      </c>
      <c r="M23" s="5" t="str">
        <v>e0</v>
      </c>
      <c r="N23" s="5" t="str">
        <v>04</v>
      </c>
      <c r="O23" s="5" t="str">
        <v>00</v>
      </c>
      <c r="P23" s="5" t="str">
        <v>00</v>
      </c>
      <c r="Q23" s="5" t="str">
        <v>00</v>
      </c>
      <c r="R23" s="5" t="str">
        <v>06</v>
      </c>
      <c r="S23" s="5" t="str">
        <v>02</v>
      </c>
      <c r="T23" s="5" t="str">
        <v>20</v>
      </c>
      <c r="U23" s="5" t="str">
        <v>e0</v>
      </c>
      <c r="V23" s="5" t="str">
        <v>04</v>
      </c>
      <c r="W23" s="5" t="str">
        <v>00</v>
      </c>
      <c r="X23" s="5" t="str">
        <v>29</v>
      </c>
      <c r="Y23" s="8" t="str">
        <v>32</v>
      </c>
      <c r="Z23" s="5" t="str">
        <v>80</v>
      </c>
      <c r="AA23" s="5" t="str">
        <v>af</v>
      </c>
      <c r="AB23" s="5" t="str">
        <v>0d</v>
      </c>
      <c r="AC23" s="5" t="str">
        <v>00</v>
      </c>
      <c r="AD23" s="5" t="str">
        <v>0e</v>
      </c>
      <c r="AE23" s="5" t="str">
        <v>e0</v>
      </c>
      <c r="AF23" s="5" t="str">
        <v>00</v>
      </c>
      <c r="AG23" s="5" t="str">
        <v>00</v>
      </c>
      <c r="AH23" s="5" t="str">
        <v>89</v>
      </c>
      <c r="AI23" s="5" t="str">
        <v>00</v>
      </c>
      <c r="AJ23" s="5" t="str">
        <v>00</v>
      </c>
      <c r="AK23" s="5" t="str">
        <v>14</v>
      </c>
    </row>
    <row r="24" spans="1:37" ht="22" customHeight="1" x14ac:dyDescent="0.3">
      <c r="A24" s="2" t="s">
        <v>2</v>
      </c>
      <c r="B24" s="2" t="s">
        <v>3</v>
      </c>
      <c r="C24" s="2">
        <v>25.5</v>
      </c>
      <c r="D24" s="2" t="s">
        <v>3</v>
      </c>
      <c r="E24" s="2" t="s">
        <v>3</v>
      </c>
      <c r="F24" s="6"/>
      <c r="G24" s="5" t="s">
        <v>370</v>
      </c>
      <c r="H24" s="2" t="str" cm="1">
        <f t="array" ref="H24">_xlfn.LET(
  _xlpm.parts, _xlfn.TEXTSPLIT(G24, " "),
  _xlpm.count, COUNTA(_xlpm.parts),
  _xlpm.sum, SUM(--HEX2DEC(INDEX(_xlpm.parts, _xlfn.SEQUENCE(_xlpm.count - 1)))),
  "Dec: " &amp; _xlpm.sum &amp; " | Hex: " &amp; DEC2HEX(_xlpm.sum)
)</f>
        <v>Dec: 1313 | Hex: 521</v>
      </c>
      <c r="I24" s="2" t="str">
        <f t="shared" si="1"/>
        <v>15</v>
      </c>
      <c r="J24" s="2" t="b">
        <f t="shared" si="2"/>
        <v>1</v>
      </c>
      <c r="K24" s="5" t="str" cm="1">
        <f t="array" ref="K24:AK24">_xlfn.TEXTSPLIT(G24, " ")</f>
        <v>02</v>
      </c>
      <c r="L24" s="5" t="str">
        <v>20</v>
      </c>
      <c r="M24" s="5" t="str">
        <v>e0</v>
      </c>
      <c r="N24" s="5" t="str">
        <v>04</v>
      </c>
      <c r="O24" s="5" t="str">
        <v>00</v>
      </c>
      <c r="P24" s="5" t="str">
        <v>00</v>
      </c>
      <c r="Q24" s="5" t="str">
        <v>00</v>
      </c>
      <c r="R24" s="5" t="str">
        <v>06</v>
      </c>
      <c r="S24" s="5" t="str">
        <v>02</v>
      </c>
      <c r="T24" s="5" t="str">
        <v>20</v>
      </c>
      <c r="U24" s="5" t="str">
        <v>e0</v>
      </c>
      <c r="V24" s="5" t="str">
        <v>04</v>
      </c>
      <c r="W24" s="5" t="str">
        <v>00</v>
      </c>
      <c r="X24" s="5" t="str">
        <v>29</v>
      </c>
      <c r="Y24" s="8" t="str">
        <v>33</v>
      </c>
      <c r="Z24" s="5" t="str">
        <v>80</v>
      </c>
      <c r="AA24" s="5" t="str">
        <v>af</v>
      </c>
      <c r="AB24" s="5" t="str">
        <v>0d</v>
      </c>
      <c r="AC24" s="5" t="str">
        <v>00</v>
      </c>
      <c r="AD24" s="5" t="str">
        <v>0e</v>
      </c>
      <c r="AE24" s="5" t="str">
        <v>e0</v>
      </c>
      <c r="AF24" s="5" t="str">
        <v>00</v>
      </c>
      <c r="AG24" s="5" t="str">
        <v>00</v>
      </c>
      <c r="AH24" s="5" t="str">
        <v>89</v>
      </c>
      <c r="AI24" s="5" t="str">
        <v>00</v>
      </c>
      <c r="AJ24" s="5" t="str">
        <v>00</v>
      </c>
      <c r="AK24" s="5" t="str">
        <v>15</v>
      </c>
    </row>
    <row r="25" spans="1:37" ht="22" customHeight="1" x14ac:dyDescent="0.3">
      <c r="A25" s="2" t="s">
        <v>2</v>
      </c>
      <c r="B25" s="2" t="s">
        <v>3</v>
      </c>
      <c r="C25" s="2">
        <v>26</v>
      </c>
      <c r="D25" s="2" t="s">
        <v>3</v>
      </c>
      <c r="E25" s="2" t="s">
        <v>3</v>
      </c>
      <c r="F25" s="6"/>
      <c r="G25" s="5" t="s">
        <v>371</v>
      </c>
      <c r="H25" s="2" t="str" cm="1">
        <f t="array" ref="H25">_xlfn.LET(
  _xlpm.parts, _xlfn.TEXTSPLIT(G25, " "),
  _xlpm.count, COUNTA(_xlpm.parts),
  _xlpm.sum, SUM(--HEX2DEC(INDEX(_xlpm.parts, _xlfn.SEQUENCE(_xlpm.count - 1)))),
  "Dec: " &amp; _xlpm.sum &amp; " | Hex: " &amp; DEC2HEX(_xlpm.sum)
)</f>
        <v>Dec: 1314 | Hex: 522</v>
      </c>
      <c r="I25" s="2" t="str">
        <f t="shared" si="1"/>
        <v>16</v>
      </c>
      <c r="J25" s="2" t="b">
        <f t="shared" si="2"/>
        <v>1</v>
      </c>
      <c r="K25" s="5" t="str" cm="1">
        <f t="array" ref="K25:AK25">_xlfn.TEXTSPLIT(G25, " ")</f>
        <v>02</v>
      </c>
      <c r="L25" s="5" t="str">
        <v>20</v>
      </c>
      <c r="M25" s="5" t="str">
        <v>e0</v>
      </c>
      <c r="N25" s="5" t="str">
        <v>04</v>
      </c>
      <c r="O25" s="5" t="str">
        <v>00</v>
      </c>
      <c r="P25" s="5" t="str">
        <v>00</v>
      </c>
      <c r="Q25" s="5" t="str">
        <v>00</v>
      </c>
      <c r="R25" s="5" t="str">
        <v>06</v>
      </c>
      <c r="S25" s="5" t="str">
        <v>02</v>
      </c>
      <c r="T25" s="5" t="str">
        <v>20</v>
      </c>
      <c r="U25" s="5" t="str">
        <v>e0</v>
      </c>
      <c r="V25" s="5" t="str">
        <v>04</v>
      </c>
      <c r="W25" s="5" t="str">
        <v>00</v>
      </c>
      <c r="X25" s="5" t="str">
        <v>29</v>
      </c>
      <c r="Y25" s="8" t="str">
        <v>34</v>
      </c>
      <c r="Z25" s="5" t="str">
        <v>80</v>
      </c>
      <c r="AA25" s="5" t="str">
        <v>af</v>
      </c>
      <c r="AB25" s="5" t="str">
        <v>0d</v>
      </c>
      <c r="AC25" s="5" t="str">
        <v>00</v>
      </c>
      <c r="AD25" s="5" t="str">
        <v>0e</v>
      </c>
      <c r="AE25" s="5" t="str">
        <v>e0</v>
      </c>
      <c r="AF25" s="5" t="str">
        <v>00</v>
      </c>
      <c r="AG25" s="5" t="str">
        <v>00</v>
      </c>
      <c r="AH25" s="5" t="str">
        <v>89</v>
      </c>
      <c r="AI25" s="5" t="str">
        <v>00</v>
      </c>
      <c r="AJ25" s="5" t="str">
        <v>00</v>
      </c>
      <c r="AK25" s="5" t="str">
        <v>16</v>
      </c>
    </row>
    <row r="26" spans="1:37" ht="22" customHeight="1" x14ac:dyDescent="0.3">
      <c r="A26" s="2" t="s">
        <v>2</v>
      </c>
      <c r="B26" s="2" t="s">
        <v>3</v>
      </c>
      <c r="C26" s="2">
        <v>26.5</v>
      </c>
      <c r="D26" s="2" t="s">
        <v>3</v>
      </c>
      <c r="E26" s="2" t="s">
        <v>3</v>
      </c>
      <c r="F26" s="6"/>
      <c r="G26" s="9" t="s">
        <v>372</v>
      </c>
      <c r="H26" s="2" t="str" cm="1">
        <f t="array" ref="H26">_xlfn.LET(
  _xlpm.parts, _xlfn.TEXTSPLIT(G26, " "),
  _xlpm.count, COUNTA(_xlpm.parts),
  _xlpm.sum, SUM(--HEX2DEC(INDEX(_xlpm.parts, _xlfn.SEQUENCE(_xlpm.count - 1)))),
  "Dec: " &amp; _xlpm.sum &amp; " | Hex: " &amp; DEC2HEX(_xlpm.sum)
)</f>
        <v>Dec: 1315 | Hex: 523</v>
      </c>
      <c r="I26" s="2" t="str">
        <f t="shared" si="1"/>
        <v>17</v>
      </c>
      <c r="J26" s="2" t="b">
        <f t="shared" si="2"/>
        <v>1</v>
      </c>
      <c r="K26" s="5" t="str" cm="1">
        <f t="array" ref="K26:AK26">_xlfn.TEXTSPLIT(G26, " ")</f>
        <v>02</v>
      </c>
      <c r="L26" s="5" t="str">
        <v>20</v>
      </c>
      <c r="M26" s="5" t="str">
        <v>e0</v>
      </c>
      <c r="N26" s="5" t="str">
        <v>04</v>
      </c>
      <c r="O26" s="5" t="str">
        <v>00</v>
      </c>
      <c r="P26" s="5" t="str">
        <v>00</v>
      </c>
      <c r="Q26" s="5" t="str">
        <v>00</v>
      </c>
      <c r="R26" s="5" t="str">
        <v>06</v>
      </c>
      <c r="S26" s="5" t="str">
        <v>02</v>
      </c>
      <c r="T26" s="5" t="str">
        <v>20</v>
      </c>
      <c r="U26" s="5" t="str">
        <v>e0</v>
      </c>
      <c r="V26" s="5" t="str">
        <v>04</v>
      </c>
      <c r="W26" s="5" t="str">
        <v>00</v>
      </c>
      <c r="X26" s="5" t="str">
        <v>29</v>
      </c>
      <c r="Y26" s="8" t="str">
        <v>35</v>
      </c>
      <c r="Z26" s="5" t="str">
        <v>80</v>
      </c>
      <c r="AA26" s="5" t="str">
        <v>af</v>
      </c>
      <c r="AB26" s="5" t="str">
        <v>0d</v>
      </c>
      <c r="AC26" s="5" t="str">
        <v>00</v>
      </c>
      <c r="AD26" s="5" t="str">
        <v>0e</v>
      </c>
      <c r="AE26" s="5" t="str">
        <v>e0</v>
      </c>
      <c r="AF26" s="5" t="str">
        <v>00</v>
      </c>
      <c r="AG26" s="5" t="str">
        <v>00</v>
      </c>
      <c r="AH26" s="5" t="str">
        <v>89</v>
      </c>
      <c r="AI26" s="5" t="str">
        <v>00</v>
      </c>
      <c r="AJ26" s="5" t="str">
        <v>00</v>
      </c>
      <c r="AK26" s="5" t="str">
        <v>17</v>
      </c>
    </row>
    <row r="27" spans="1:37" ht="22" customHeight="1" x14ac:dyDescent="0.3">
      <c r="A27" s="2" t="s">
        <v>2</v>
      </c>
      <c r="B27" s="2" t="s">
        <v>3</v>
      </c>
      <c r="C27" s="2">
        <v>27</v>
      </c>
      <c r="D27" s="2" t="s">
        <v>3</v>
      </c>
      <c r="E27" s="2" t="s">
        <v>3</v>
      </c>
      <c r="F27" s="6"/>
      <c r="G27" s="9" t="s">
        <v>373</v>
      </c>
      <c r="H27" s="2" t="str" cm="1">
        <f t="array" ref="H27">_xlfn.LET(
  _xlpm.parts, _xlfn.TEXTSPLIT(G27, " "),
  _xlpm.count, COUNTA(_xlpm.parts),
  _xlpm.sum, SUM(--HEX2DEC(INDEX(_xlpm.parts, _xlfn.SEQUENCE(_xlpm.count - 1)))),
  "Dec: " &amp; _xlpm.sum &amp; " | Hex: " &amp; DEC2HEX(_xlpm.sum)
)</f>
        <v>Dec: 1316 | Hex: 524</v>
      </c>
      <c r="I27" s="2" t="str">
        <f t="shared" si="1"/>
        <v>18</v>
      </c>
      <c r="J27" s="2" t="b">
        <f t="shared" si="2"/>
        <v>1</v>
      </c>
      <c r="K27" s="5" t="str" cm="1">
        <f t="array" ref="K27:AK27">_xlfn.TEXTSPLIT(G27, " ")</f>
        <v>02</v>
      </c>
      <c r="L27" s="5" t="str">
        <v>20</v>
      </c>
      <c r="M27" s="5" t="str">
        <v>e0</v>
      </c>
      <c r="N27" s="5" t="str">
        <v>04</v>
      </c>
      <c r="O27" s="5" t="str">
        <v>00</v>
      </c>
      <c r="P27" s="5" t="str">
        <v>00</v>
      </c>
      <c r="Q27" s="5" t="str">
        <v>00</v>
      </c>
      <c r="R27" s="5" t="str">
        <v>06</v>
      </c>
      <c r="S27" s="5" t="str">
        <v>02</v>
      </c>
      <c r="T27" s="5" t="str">
        <v>20</v>
      </c>
      <c r="U27" s="5" t="str">
        <v>e0</v>
      </c>
      <c r="V27" s="5" t="str">
        <v>04</v>
      </c>
      <c r="W27" s="5" t="str">
        <v>00</v>
      </c>
      <c r="X27" s="5" t="str">
        <v>29</v>
      </c>
      <c r="Y27" s="8" t="str">
        <v>36</v>
      </c>
      <c r="Z27" s="5" t="str">
        <v>80</v>
      </c>
      <c r="AA27" s="5" t="str">
        <v>af</v>
      </c>
      <c r="AB27" s="5" t="str">
        <v>0d</v>
      </c>
      <c r="AC27" s="5" t="str">
        <v>00</v>
      </c>
      <c r="AD27" s="5" t="str">
        <v>0e</v>
      </c>
      <c r="AE27" s="5" t="str">
        <v>e0</v>
      </c>
      <c r="AF27" s="5" t="str">
        <v>00</v>
      </c>
      <c r="AG27" s="5" t="str">
        <v>00</v>
      </c>
      <c r="AH27" s="5" t="str">
        <v>89</v>
      </c>
      <c r="AI27" s="5" t="str">
        <v>00</v>
      </c>
      <c r="AJ27" s="5" t="str">
        <v>00</v>
      </c>
      <c r="AK27" s="5" t="str">
        <v>18</v>
      </c>
    </row>
    <row r="28" spans="1:37" ht="22" customHeight="1" x14ac:dyDescent="0.3">
      <c r="A28" s="2" t="s">
        <v>2</v>
      </c>
      <c r="B28" s="2" t="s">
        <v>3</v>
      </c>
      <c r="C28" s="2">
        <v>27.5</v>
      </c>
      <c r="D28" s="2" t="s">
        <v>3</v>
      </c>
      <c r="E28" s="2" t="s">
        <v>3</v>
      </c>
      <c r="F28" s="6"/>
      <c r="G28" s="9" t="s">
        <v>374</v>
      </c>
      <c r="H28" s="2" t="str" cm="1">
        <f t="array" ref="H28">_xlfn.LET(
  _xlpm.parts, _xlfn.TEXTSPLIT(G28, " "),
  _xlpm.count, COUNTA(_xlpm.parts),
  _xlpm.sum, SUM(--HEX2DEC(INDEX(_xlpm.parts, _xlfn.SEQUENCE(_xlpm.count - 1)))),
  "Dec: " &amp; _xlpm.sum &amp; " | Hex: " &amp; DEC2HEX(_xlpm.sum)
)</f>
        <v>Dec: 1317 | Hex: 525</v>
      </c>
      <c r="I28" s="2" t="str">
        <f t="shared" si="1"/>
        <v>19</v>
      </c>
      <c r="J28" s="2" t="b">
        <f t="shared" si="2"/>
        <v>1</v>
      </c>
      <c r="K28" s="5" t="str" cm="1">
        <f t="array" ref="K28:AK28">_xlfn.TEXTSPLIT(G28, " ")</f>
        <v>02</v>
      </c>
      <c r="L28" s="5" t="str">
        <v>20</v>
      </c>
      <c r="M28" s="5" t="str">
        <v>e0</v>
      </c>
      <c r="N28" s="5" t="str">
        <v>04</v>
      </c>
      <c r="O28" s="5" t="str">
        <v>00</v>
      </c>
      <c r="P28" s="5" t="str">
        <v>00</v>
      </c>
      <c r="Q28" s="5" t="str">
        <v>00</v>
      </c>
      <c r="R28" s="5" t="str">
        <v>06</v>
      </c>
      <c r="S28" s="5" t="str">
        <v>02</v>
      </c>
      <c r="T28" s="5" t="str">
        <v>20</v>
      </c>
      <c r="U28" s="5" t="str">
        <v>e0</v>
      </c>
      <c r="V28" s="5" t="str">
        <v>04</v>
      </c>
      <c r="W28" s="5" t="str">
        <v>00</v>
      </c>
      <c r="X28" s="5" t="str">
        <v>29</v>
      </c>
      <c r="Y28" s="8" t="str">
        <v>37</v>
      </c>
      <c r="Z28" s="5" t="str">
        <v>80</v>
      </c>
      <c r="AA28" s="5" t="str">
        <v>af</v>
      </c>
      <c r="AB28" s="5" t="str">
        <v>0d</v>
      </c>
      <c r="AC28" s="5" t="str">
        <v>00</v>
      </c>
      <c r="AD28" s="5" t="str">
        <v>0e</v>
      </c>
      <c r="AE28" s="5" t="str">
        <v>e0</v>
      </c>
      <c r="AF28" s="5" t="str">
        <v>00</v>
      </c>
      <c r="AG28" s="5" t="str">
        <v>00</v>
      </c>
      <c r="AH28" s="5" t="str">
        <v>89</v>
      </c>
      <c r="AI28" s="5" t="str">
        <v>00</v>
      </c>
      <c r="AJ28" s="5" t="str">
        <v>00</v>
      </c>
      <c r="AK28" s="5" t="str">
        <v>19</v>
      </c>
    </row>
    <row r="29" spans="1:37" ht="22" customHeight="1" x14ac:dyDescent="0.3">
      <c r="A29" s="2" t="s">
        <v>2</v>
      </c>
      <c r="B29" s="2" t="s">
        <v>3</v>
      </c>
      <c r="C29" s="2">
        <v>28</v>
      </c>
      <c r="D29" s="2" t="s">
        <v>3</v>
      </c>
      <c r="E29" s="2" t="s">
        <v>3</v>
      </c>
      <c r="F29" s="6"/>
      <c r="G29" s="9" t="s">
        <v>375</v>
      </c>
      <c r="H29" s="2" t="str" cm="1">
        <f t="array" ref="H29">_xlfn.LET(
  _xlpm.parts, _xlfn.TEXTSPLIT(G29, " "),
  _xlpm.count, COUNTA(_xlpm.parts),
  _xlpm.sum, SUM(--HEX2DEC(INDEX(_xlpm.parts, _xlfn.SEQUENCE(_xlpm.count - 1)))),
  "Dec: " &amp; _xlpm.sum &amp; " | Hex: " &amp; DEC2HEX(_xlpm.sum)
)</f>
        <v>Dec: 1318 | Hex: 526</v>
      </c>
      <c r="I29" s="2" t="str">
        <f t="shared" si="1"/>
        <v>1A</v>
      </c>
      <c r="J29" s="2" t="b">
        <f t="shared" si="2"/>
        <v>1</v>
      </c>
      <c r="K29" s="5" t="str" cm="1">
        <f t="array" ref="K29:AK29">_xlfn.TEXTSPLIT(G29, " ")</f>
        <v>02</v>
      </c>
      <c r="L29" s="5" t="str">
        <v>20</v>
      </c>
      <c r="M29" s="5" t="str">
        <v>e0</v>
      </c>
      <c r="N29" s="5" t="str">
        <v>04</v>
      </c>
      <c r="O29" s="5" t="str">
        <v>00</v>
      </c>
      <c r="P29" s="5" t="str">
        <v>00</v>
      </c>
      <c r="Q29" s="5" t="str">
        <v>00</v>
      </c>
      <c r="R29" s="5" t="str">
        <v>06</v>
      </c>
      <c r="S29" s="5" t="str">
        <v>02</v>
      </c>
      <c r="T29" s="5" t="str">
        <v>20</v>
      </c>
      <c r="U29" s="5" t="str">
        <v>e0</v>
      </c>
      <c r="V29" s="5" t="str">
        <v>04</v>
      </c>
      <c r="W29" s="5" t="str">
        <v>00</v>
      </c>
      <c r="X29" s="5" t="str">
        <v>29</v>
      </c>
      <c r="Y29" s="8" t="str">
        <v>38</v>
      </c>
      <c r="Z29" s="5" t="str">
        <v>80</v>
      </c>
      <c r="AA29" s="5" t="str">
        <v>af</v>
      </c>
      <c r="AB29" s="5" t="str">
        <v>0d</v>
      </c>
      <c r="AC29" s="5" t="str">
        <v>00</v>
      </c>
      <c r="AD29" s="5" t="str">
        <v>0e</v>
      </c>
      <c r="AE29" s="5" t="str">
        <v>e0</v>
      </c>
      <c r="AF29" s="5" t="str">
        <v>00</v>
      </c>
      <c r="AG29" s="5" t="str">
        <v>00</v>
      </c>
      <c r="AH29" s="5" t="str">
        <v>89</v>
      </c>
      <c r="AI29" s="5" t="str">
        <v>00</v>
      </c>
      <c r="AJ29" s="5" t="str">
        <v>00</v>
      </c>
      <c r="AK29" s="5" t="str">
        <v>1a</v>
      </c>
    </row>
    <row r="30" spans="1:37" ht="22" customHeight="1" x14ac:dyDescent="0.3">
      <c r="A30" s="2" t="s">
        <v>2</v>
      </c>
      <c r="B30" s="2" t="s">
        <v>3</v>
      </c>
      <c r="C30" s="2">
        <v>28.5</v>
      </c>
      <c r="D30" s="2" t="s">
        <v>3</v>
      </c>
      <c r="E30" s="2" t="s">
        <v>3</v>
      </c>
      <c r="F30" s="6"/>
      <c r="G30" s="9" t="s">
        <v>376</v>
      </c>
      <c r="H30" s="2" t="str" cm="1">
        <f t="array" ref="H30">_xlfn.LET(
  _xlpm.parts, _xlfn.TEXTSPLIT(G30, " "),
  _xlpm.count, COUNTA(_xlpm.parts),
  _xlpm.sum, SUM(--HEX2DEC(INDEX(_xlpm.parts, _xlfn.SEQUENCE(_xlpm.count - 1)))),
  "Dec: " &amp; _xlpm.sum &amp; " | Hex: " &amp; DEC2HEX(_xlpm.sum)
)</f>
        <v>Dec: 1319 | Hex: 527</v>
      </c>
      <c r="I30" s="2" t="str">
        <f t="shared" si="1"/>
        <v>1B</v>
      </c>
      <c r="J30" s="2" t="b">
        <f t="shared" si="2"/>
        <v>1</v>
      </c>
      <c r="K30" s="5" t="str" cm="1">
        <f t="array" ref="K30:AK30">_xlfn.TEXTSPLIT(G30, " ")</f>
        <v>02</v>
      </c>
      <c r="L30" s="5" t="str">
        <v>20</v>
      </c>
      <c r="M30" s="5" t="str">
        <v>e0</v>
      </c>
      <c r="N30" s="5" t="str">
        <v>04</v>
      </c>
      <c r="O30" s="5" t="str">
        <v>00</v>
      </c>
      <c r="P30" s="5" t="str">
        <v>00</v>
      </c>
      <c r="Q30" s="5" t="str">
        <v>00</v>
      </c>
      <c r="R30" s="5" t="str">
        <v>06</v>
      </c>
      <c r="S30" s="5" t="str">
        <v>02</v>
      </c>
      <c r="T30" s="5" t="str">
        <v>20</v>
      </c>
      <c r="U30" s="5" t="str">
        <v>e0</v>
      </c>
      <c r="V30" s="5" t="str">
        <v>04</v>
      </c>
      <c r="W30" s="5" t="str">
        <v>00</v>
      </c>
      <c r="X30" s="5" t="str">
        <v>29</v>
      </c>
      <c r="Y30" s="8" t="str">
        <v>39</v>
      </c>
      <c r="Z30" s="5" t="str">
        <v>80</v>
      </c>
      <c r="AA30" s="5" t="str">
        <v>af</v>
      </c>
      <c r="AB30" s="5" t="str">
        <v>0d</v>
      </c>
      <c r="AC30" s="5" t="str">
        <v>00</v>
      </c>
      <c r="AD30" s="5" t="str">
        <v>0e</v>
      </c>
      <c r="AE30" s="5" t="str">
        <v>e0</v>
      </c>
      <c r="AF30" s="5" t="str">
        <v>00</v>
      </c>
      <c r="AG30" s="5" t="str">
        <v>00</v>
      </c>
      <c r="AH30" s="5" t="str">
        <v>89</v>
      </c>
      <c r="AI30" s="5" t="str">
        <v>00</v>
      </c>
      <c r="AJ30" s="5" t="str">
        <v>00</v>
      </c>
      <c r="AK30" s="5" t="str">
        <v>1b</v>
      </c>
    </row>
    <row r="31" spans="1:37" ht="22" customHeight="1" x14ac:dyDescent="0.3">
      <c r="A31" s="2" t="s">
        <v>2</v>
      </c>
      <c r="B31" s="2" t="s">
        <v>3</v>
      </c>
      <c r="C31" s="2">
        <v>29</v>
      </c>
      <c r="D31" s="2" t="s">
        <v>3</v>
      </c>
      <c r="E31" s="2" t="s">
        <v>3</v>
      </c>
      <c r="F31" s="6" t="s">
        <v>326</v>
      </c>
      <c r="G31" s="5" t="s">
        <v>327</v>
      </c>
      <c r="H31" s="2" t="str" cm="1">
        <f t="array" ref="H31">_xlfn.LET(
  _xlpm.parts, _xlfn.TEXTSPLIT(G31, " "),
  _xlpm.count, COUNTA(_xlpm.parts),
  _xlpm.sum, SUM(--HEX2DEC(INDEX(_xlpm.parts, _xlfn.SEQUENCE(_xlpm.count - 1)))),
  "Dec: " &amp; _xlpm.sum &amp; " | Hex: " &amp; DEC2HEX(_xlpm.sum)
)</f>
        <v>Dec: 1320 | Hex: 528</v>
      </c>
      <c r="I31" s="2" t="str">
        <f t="shared" si="1"/>
        <v>1C</v>
      </c>
      <c r="J31" s="2" t="b">
        <f t="shared" si="2"/>
        <v>1</v>
      </c>
      <c r="K31" s="5" t="str" cm="1">
        <f t="array" ref="K31:AK31">_xlfn.TEXTSPLIT(G31, " ")</f>
        <v>02</v>
      </c>
      <c r="L31" s="5" t="str">
        <v>20</v>
      </c>
      <c r="M31" s="5" t="str">
        <v>e0</v>
      </c>
      <c r="N31" s="5" t="str">
        <v>04</v>
      </c>
      <c r="O31" s="5" t="str">
        <v>00</v>
      </c>
      <c r="P31" s="5" t="str">
        <v>00</v>
      </c>
      <c r="Q31" s="5" t="str">
        <v>00</v>
      </c>
      <c r="R31" s="5" t="str">
        <v>06</v>
      </c>
      <c r="S31" s="5" t="str">
        <v>02</v>
      </c>
      <c r="T31" s="5" t="str">
        <v>20</v>
      </c>
      <c r="U31" s="5" t="str">
        <v>e0</v>
      </c>
      <c r="V31" s="5" t="str">
        <v>04</v>
      </c>
      <c r="W31" s="5" t="str">
        <v>00</v>
      </c>
      <c r="X31" s="5" t="str">
        <v>29</v>
      </c>
      <c r="Y31" s="8" t="str">
        <v>3a</v>
      </c>
      <c r="Z31" s="5" t="str">
        <v>80</v>
      </c>
      <c r="AA31" s="5" t="str">
        <v>af</v>
      </c>
      <c r="AB31" s="5" t="str">
        <v>0d</v>
      </c>
      <c r="AC31" s="5" t="str">
        <v>00</v>
      </c>
      <c r="AD31" s="5" t="str">
        <v>0e</v>
      </c>
      <c r="AE31" s="5" t="str">
        <v>e0</v>
      </c>
      <c r="AF31" s="5" t="str">
        <v>00</v>
      </c>
      <c r="AG31" s="5" t="str">
        <v>00</v>
      </c>
      <c r="AH31" s="5" t="str">
        <v>89</v>
      </c>
      <c r="AI31" s="5" t="str">
        <v>00</v>
      </c>
      <c r="AJ31" s="5" t="str">
        <v>00</v>
      </c>
      <c r="AK31" s="5" t="str">
        <v>1c</v>
      </c>
    </row>
    <row r="32" spans="1:37" ht="22" customHeight="1" x14ac:dyDescent="0.3">
      <c r="A32" s="2" t="s">
        <v>2</v>
      </c>
      <c r="B32" s="2" t="s">
        <v>3</v>
      </c>
      <c r="C32" s="2">
        <v>29.5</v>
      </c>
      <c r="D32" s="2" t="s">
        <v>3</v>
      </c>
      <c r="E32" s="2" t="s">
        <v>3</v>
      </c>
      <c r="F32" s="6" t="s">
        <v>328</v>
      </c>
      <c r="G32" s="5" t="s">
        <v>329</v>
      </c>
      <c r="H32" s="2" t="str" cm="1">
        <f t="array" ref="H32">_xlfn.LET(
  _xlpm.parts, _xlfn.TEXTSPLIT(G32, " "),
  _xlpm.count, COUNTA(_xlpm.parts),
  _xlpm.sum, SUM(--HEX2DEC(INDEX(_xlpm.parts, _xlfn.SEQUENCE(_xlpm.count - 1)))),
  "Dec: " &amp; _xlpm.sum &amp; " | Hex: " &amp; DEC2HEX(_xlpm.sum)
)</f>
        <v>Dec: 1321 | Hex: 529</v>
      </c>
      <c r="I32" s="2" t="str">
        <f t="shared" si="1"/>
        <v>1D</v>
      </c>
      <c r="J32" s="2" t="b">
        <f t="shared" si="2"/>
        <v>1</v>
      </c>
      <c r="K32" s="5" t="str" cm="1">
        <f t="array" ref="K32:AK32">_xlfn.TEXTSPLIT(G32, " ")</f>
        <v>02</v>
      </c>
      <c r="L32" s="5" t="str">
        <v>20</v>
      </c>
      <c r="M32" s="5" t="str">
        <v>e0</v>
      </c>
      <c r="N32" s="5" t="str">
        <v>04</v>
      </c>
      <c r="O32" s="5" t="str">
        <v>00</v>
      </c>
      <c r="P32" s="5" t="str">
        <v>00</v>
      </c>
      <c r="Q32" s="5" t="str">
        <v>00</v>
      </c>
      <c r="R32" s="5" t="str">
        <v>06</v>
      </c>
      <c r="S32" s="5" t="str">
        <v>02</v>
      </c>
      <c r="T32" s="5" t="str">
        <v>20</v>
      </c>
      <c r="U32" s="5" t="str">
        <v>e0</v>
      </c>
      <c r="V32" s="5" t="str">
        <v>04</v>
      </c>
      <c r="W32" s="5" t="str">
        <v>00</v>
      </c>
      <c r="X32" s="5" t="str">
        <v>29</v>
      </c>
      <c r="Y32" s="8" t="str">
        <v>3b</v>
      </c>
      <c r="Z32" s="5" t="str">
        <v>80</v>
      </c>
      <c r="AA32" s="5" t="str">
        <v>af</v>
      </c>
      <c r="AB32" s="5" t="str">
        <v>0d</v>
      </c>
      <c r="AC32" s="5" t="str">
        <v>00</v>
      </c>
      <c r="AD32" s="5" t="str">
        <v>0e</v>
      </c>
      <c r="AE32" s="5" t="str">
        <v>e0</v>
      </c>
      <c r="AF32" s="5" t="str">
        <v>00</v>
      </c>
      <c r="AG32" s="5" t="str">
        <v>00</v>
      </c>
      <c r="AH32" s="5" t="str">
        <v>89</v>
      </c>
      <c r="AI32" s="5" t="str">
        <v>00</v>
      </c>
      <c r="AJ32" s="5" t="str">
        <v>00</v>
      </c>
      <c r="AK32" s="5" t="str">
        <v>1d</v>
      </c>
    </row>
    <row r="33" spans="1:37" ht="22" customHeight="1" x14ac:dyDescent="0.3">
      <c r="A33" s="2" t="s">
        <v>2</v>
      </c>
      <c r="B33" s="2" t="s">
        <v>3</v>
      </c>
      <c r="C33" s="2">
        <v>30</v>
      </c>
      <c r="D33" s="2" t="s">
        <v>3</v>
      </c>
      <c r="E33" s="2" t="s">
        <v>3</v>
      </c>
      <c r="F33" s="6" t="s">
        <v>330</v>
      </c>
      <c r="G33" s="5" t="s">
        <v>331</v>
      </c>
      <c r="H33" s="2" t="str" cm="1">
        <f t="array" ref="H33">_xlfn.LET(
  _xlpm.parts, _xlfn.TEXTSPLIT(G33, " "),
  _xlpm.count, COUNTA(_xlpm.parts),
  _xlpm.sum, SUM(--HEX2DEC(INDEX(_xlpm.parts, _xlfn.SEQUENCE(_xlpm.count - 1)))),
  "Dec: " &amp; _xlpm.sum &amp; " | Hex: " &amp; DEC2HEX(_xlpm.sum)
)</f>
        <v>Dec: 1322 | Hex: 52A</v>
      </c>
      <c r="I33" s="2" t="str">
        <f t="shared" si="1"/>
        <v>1E</v>
      </c>
      <c r="J33" s="2" t="b">
        <f t="shared" si="2"/>
        <v>1</v>
      </c>
      <c r="K33" s="5" t="str" cm="1">
        <f t="array" ref="K33:AK33">_xlfn.TEXTSPLIT(G33, " ")</f>
        <v>02</v>
      </c>
      <c r="L33" s="5" t="str">
        <v>20</v>
      </c>
      <c r="M33" s="5" t="str">
        <v>e0</v>
      </c>
      <c r="N33" s="5" t="str">
        <v>04</v>
      </c>
      <c r="O33" s="5" t="str">
        <v>00</v>
      </c>
      <c r="P33" s="5" t="str">
        <v>00</v>
      </c>
      <c r="Q33" s="5" t="str">
        <v>00</v>
      </c>
      <c r="R33" s="5" t="str">
        <v>06</v>
      </c>
      <c r="S33" s="5" t="str">
        <v>02</v>
      </c>
      <c r="T33" s="5" t="str">
        <v>20</v>
      </c>
      <c r="U33" s="5" t="str">
        <v>e0</v>
      </c>
      <c r="V33" s="5" t="str">
        <v>04</v>
      </c>
      <c r="W33" s="5" t="str">
        <v>00</v>
      </c>
      <c r="X33" s="5" t="str">
        <v>29</v>
      </c>
      <c r="Y33" s="8" t="str">
        <v>3c</v>
      </c>
      <c r="Z33" s="5" t="str">
        <v>80</v>
      </c>
      <c r="AA33" s="5" t="str">
        <v>af</v>
      </c>
      <c r="AB33" s="5" t="str">
        <v>0d</v>
      </c>
      <c r="AC33" s="5" t="str">
        <v>00</v>
      </c>
      <c r="AD33" s="5" t="str">
        <v>0e</v>
      </c>
      <c r="AE33" s="5" t="str">
        <v>e0</v>
      </c>
      <c r="AF33" s="5" t="str">
        <v>00</v>
      </c>
      <c r="AG33" s="5" t="str">
        <v>00</v>
      </c>
      <c r="AH33" s="5" t="str">
        <v>89</v>
      </c>
      <c r="AI33" s="5" t="str">
        <v>00</v>
      </c>
      <c r="AJ33" s="5" t="str">
        <v>00</v>
      </c>
      <c r="AK33" s="5" t="str">
        <v>1e</v>
      </c>
    </row>
    <row r="34" spans="1:37" ht="22" customHeight="1" x14ac:dyDescent="0.3">
      <c r="A34" s="2"/>
      <c r="B34" s="2"/>
      <c r="C34" s="2"/>
      <c r="D34" s="2"/>
      <c r="E34" s="2"/>
      <c r="H34" s="2"/>
      <c r="I34" s="2"/>
      <c r="J34" s="2"/>
    </row>
    <row r="35" spans="1:37" ht="22" customHeight="1" x14ac:dyDescent="0.3">
      <c r="A35" s="2" t="s">
        <v>1</v>
      </c>
      <c r="B35" s="2" t="s">
        <v>5</v>
      </c>
      <c r="C35" s="2">
        <v>30</v>
      </c>
      <c r="D35" s="2" t="s">
        <v>3</v>
      </c>
      <c r="E35" s="2" t="s">
        <v>3</v>
      </c>
      <c r="F35" s="6"/>
      <c r="G35" s="5" t="s">
        <v>331</v>
      </c>
      <c r="H35" s="2" t="str" cm="1">
        <f t="array" ref="H35">_xlfn.LET(
  _xlpm.parts, _xlfn.TEXTSPLIT(G35, " "),
  _xlpm.count, COUNTA(_xlpm.parts),
  _xlpm.sum, SUM(--HEX2DEC(INDEX(_xlpm.parts, _xlfn.SEQUENCE(_xlpm.count - 1)))),
  "Dec: " &amp; _xlpm.sum &amp; " | Hex: " &amp; DEC2HEX(_xlpm.sum)
)</f>
        <v>Dec: 1322 | Hex: 52A</v>
      </c>
      <c r="I35" s="2" t="str">
        <f t="shared" ref="I35:I40" si="3">DEC2HEX(MOD(VALUE(MID(H35, 6, FIND("|", H35)-7)) - 12, 256), 2)</f>
        <v>1E</v>
      </c>
      <c r="J35" s="2" t="b">
        <f t="shared" ref="J35:J40" si="4">I35=AK35</f>
        <v>1</v>
      </c>
      <c r="K35" s="5" t="str" cm="1">
        <f t="array" ref="K35:AK35">_xlfn.TEXTSPLIT(G35, " ")</f>
        <v>02</v>
      </c>
      <c r="L35" s="5" t="str">
        <v>20</v>
      </c>
      <c r="M35" s="5" t="str">
        <v>e0</v>
      </c>
      <c r="N35" s="5" t="str">
        <v>04</v>
      </c>
      <c r="O35" s="5" t="str">
        <v>00</v>
      </c>
      <c r="P35" s="5" t="str">
        <v>00</v>
      </c>
      <c r="Q35" s="5" t="str">
        <v>00</v>
      </c>
      <c r="R35" s="5" t="str">
        <v>06</v>
      </c>
      <c r="S35" s="5" t="str">
        <v>02</v>
      </c>
      <c r="T35" s="5" t="str">
        <v>20</v>
      </c>
      <c r="U35" s="5" t="str">
        <v>e0</v>
      </c>
      <c r="V35" s="5" t="str">
        <v>04</v>
      </c>
      <c r="W35" s="5" t="str">
        <v>00</v>
      </c>
      <c r="X35" s="5" t="str">
        <v>29</v>
      </c>
      <c r="Y35" s="5" t="str">
        <v>3c</v>
      </c>
      <c r="Z35" s="5" t="str">
        <v>80</v>
      </c>
      <c r="AA35" s="8" t="str">
        <v>af</v>
      </c>
      <c r="AB35" s="5" t="str">
        <v>0d</v>
      </c>
      <c r="AC35" s="5" t="str">
        <v>00</v>
      </c>
      <c r="AD35" s="5" t="str">
        <v>0e</v>
      </c>
      <c r="AE35" s="5" t="str">
        <v>e0</v>
      </c>
      <c r="AF35" s="5" t="str">
        <v>00</v>
      </c>
      <c r="AG35" s="5" t="str">
        <v>00</v>
      </c>
      <c r="AH35" s="5" t="str">
        <v>89</v>
      </c>
      <c r="AI35" s="5" t="str">
        <v>00</v>
      </c>
      <c r="AJ35" s="5" t="str">
        <v>00</v>
      </c>
      <c r="AK35" s="5" t="str">
        <v>1e</v>
      </c>
    </row>
    <row r="36" spans="1:37" ht="22" customHeight="1" x14ac:dyDescent="0.3">
      <c r="A36" s="2" t="s">
        <v>1</v>
      </c>
      <c r="B36" s="2">
        <v>1</v>
      </c>
      <c r="C36" s="2">
        <v>30</v>
      </c>
      <c r="D36" s="2" t="s">
        <v>3</v>
      </c>
      <c r="E36" s="2" t="s">
        <v>3</v>
      </c>
      <c r="F36" s="6"/>
      <c r="G36" s="5" t="s">
        <v>377</v>
      </c>
      <c r="H36" s="2" t="str" cm="1">
        <f t="array" ref="H36">_xlfn.LET(
  _xlpm.parts, _xlfn.TEXTSPLIT(G36, " "),
  _xlpm.count, COUNTA(_xlpm.parts),
  _xlpm.sum, SUM(--HEX2DEC(INDEX(_xlpm.parts, _xlfn.SEQUENCE(_xlpm.count - 1)))),
  "Dec: " &amp; _xlpm.sum &amp; " | Hex: " &amp; DEC2HEX(_xlpm.sum)
)</f>
        <v>Dec: 1210 | Hex: 4BA</v>
      </c>
      <c r="I36" s="2" t="str">
        <f t="shared" si="3"/>
        <v>AE</v>
      </c>
      <c r="J36" s="2" t="b">
        <f t="shared" si="4"/>
        <v>1</v>
      </c>
      <c r="K36" s="5" t="str" cm="1">
        <f t="array" ref="K36:AK36">_xlfn.TEXTSPLIT(G36, " ")</f>
        <v>02</v>
      </c>
      <c r="L36" s="5" t="str">
        <v>20</v>
      </c>
      <c r="M36" s="5" t="str">
        <v>e0</v>
      </c>
      <c r="N36" s="5" t="str">
        <v>04</v>
      </c>
      <c r="O36" s="5" t="str">
        <v>00</v>
      </c>
      <c r="P36" s="5" t="str">
        <v>00</v>
      </c>
      <c r="Q36" s="5" t="str">
        <v>00</v>
      </c>
      <c r="R36" s="5" t="str">
        <v>06</v>
      </c>
      <c r="S36" s="5" t="str">
        <v>02</v>
      </c>
      <c r="T36" s="5" t="str">
        <v>20</v>
      </c>
      <c r="U36" s="5" t="str">
        <v>e0</v>
      </c>
      <c r="V36" s="5" t="str">
        <v>04</v>
      </c>
      <c r="W36" s="5" t="str">
        <v>00</v>
      </c>
      <c r="X36" s="5" t="str">
        <v>29</v>
      </c>
      <c r="Y36" s="5" t="str">
        <v>3c</v>
      </c>
      <c r="Z36" s="5" t="str">
        <v>80</v>
      </c>
      <c r="AA36" s="8" t="str">
        <v>3f</v>
      </c>
      <c r="AB36" s="5" t="str">
        <v>0d</v>
      </c>
      <c r="AC36" s="5" t="str">
        <v>00</v>
      </c>
      <c r="AD36" s="5" t="str">
        <v>0e</v>
      </c>
      <c r="AE36" s="5" t="str">
        <v>e0</v>
      </c>
      <c r="AF36" s="5" t="str">
        <v>00</v>
      </c>
      <c r="AG36" s="5" t="str">
        <v>00</v>
      </c>
      <c r="AH36" s="5" t="str">
        <v>89</v>
      </c>
      <c r="AI36" s="5" t="str">
        <v>00</v>
      </c>
      <c r="AJ36" s="5" t="str">
        <v>00</v>
      </c>
      <c r="AK36" s="5" t="str">
        <v>ae</v>
      </c>
    </row>
    <row r="37" spans="1:37" ht="22" customHeight="1" x14ac:dyDescent="0.3">
      <c r="A37" s="2" t="s">
        <v>1</v>
      </c>
      <c r="B37" s="2">
        <v>2</v>
      </c>
      <c r="C37" s="2">
        <v>30</v>
      </c>
      <c r="D37" s="2" t="s">
        <v>3</v>
      </c>
      <c r="E37" s="2" t="s">
        <v>3</v>
      </c>
      <c r="G37" s="5" t="s">
        <v>378</v>
      </c>
      <c r="H37" s="2" t="str" cm="1">
        <f t="array" ref="H37">_xlfn.LET(
  _xlpm.parts, _xlfn.TEXTSPLIT(G37, " "),
  _xlpm.count, COUNTA(_xlpm.parts),
  _xlpm.sum, SUM(--HEX2DEC(INDEX(_xlpm.parts, _xlfn.SEQUENCE(_xlpm.count - 1)))),
  "Dec: " &amp; _xlpm.sum &amp; " | Hex: " &amp; DEC2HEX(_xlpm.sum)
)</f>
        <v>Dec: 1226 | Hex: 4CA</v>
      </c>
      <c r="I37" s="2" t="str">
        <f t="shared" si="3"/>
        <v>BE</v>
      </c>
      <c r="J37" s="2" t="b">
        <f t="shared" si="4"/>
        <v>1</v>
      </c>
      <c r="K37" s="5" t="str" cm="1">
        <f t="array" ref="K37:AK37">_xlfn.TEXTSPLIT(G37, " ")</f>
        <v>02</v>
      </c>
      <c r="L37" s="5" t="str">
        <v>20</v>
      </c>
      <c r="M37" s="5" t="str">
        <v>e0</v>
      </c>
      <c r="N37" s="5" t="str">
        <v>04</v>
      </c>
      <c r="O37" s="5" t="str">
        <v>00</v>
      </c>
      <c r="P37" s="5" t="str">
        <v>00</v>
      </c>
      <c r="Q37" s="5" t="str">
        <v>00</v>
      </c>
      <c r="R37" s="5" t="str">
        <v>06</v>
      </c>
      <c r="S37" s="5" t="str">
        <v>02</v>
      </c>
      <c r="T37" s="5" t="str">
        <v>20</v>
      </c>
      <c r="U37" s="5" t="str">
        <v>e0</v>
      </c>
      <c r="V37" s="5" t="str">
        <v>04</v>
      </c>
      <c r="W37" s="5" t="str">
        <v>00</v>
      </c>
      <c r="X37" s="5" t="str">
        <v>29</v>
      </c>
      <c r="Y37" s="5" t="str">
        <v>3c</v>
      </c>
      <c r="Z37" s="5" t="str">
        <v>80</v>
      </c>
      <c r="AA37" s="8" t="str">
        <v>4f</v>
      </c>
      <c r="AB37" s="5" t="str">
        <v>0d</v>
      </c>
      <c r="AC37" s="5" t="str">
        <v>00</v>
      </c>
      <c r="AD37" s="5" t="str">
        <v>0e</v>
      </c>
      <c r="AE37" s="5" t="str">
        <v>e0</v>
      </c>
      <c r="AF37" s="5" t="str">
        <v>00</v>
      </c>
      <c r="AG37" s="5" t="str">
        <v>00</v>
      </c>
      <c r="AH37" s="5" t="str">
        <v>89</v>
      </c>
      <c r="AI37" s="5" t="str">
        <v>00</v>
      </c>
      <c r="AJ37" s="5" t="str">
        <v>00</v>
      </c>
      <c r="AK37" s="5" t="str">
        <v>be</v>
      </c>
    </row>
    <row r="38" spans="1:37" ht="22" customHeight="1" x14ac:dyDescent="0.3">
      <c r="A38" s="2" t="s">
        <v>1</v>
      </c>
      <c r="B38" s="2">
        <v>3</v>
      </c>
      <c r="C38" s="2">
        <v>30</v>
      </c>
      <c r="D38" s="2" t="s">
        <v>3</v>
      </c>
      <c r="E38" s="2" t="s">
        <v>3</v>
      </c>
      <c r="G38" s="9" t="s">
        <v>379</v>
      </c>
      <c r="H38" s="2" t="str" cm="1">
        <f t="array" ref="H38">_xlfn.LET(
  _xlpm.parts, _xlfn.TEXTSPLIT(G38, " "),
  _xlpm.count, COUNTA(_xlpm.parts),
  _xlpm.sum, SUM(--HEX2DEC(INDEX(_xlpm.parts, _xlfn.SEQUENCE(_xlpm.count - 1)))),
  "Dec: " &amp; _xlpm.sum &amp; " | Hex: " &amp; DEC2HEX(_xlpm.sum)
)</f>
        <v>Dec: 1242 | Hex: 4DA</v>
      </c>
      <c r="I38" s="2" t="str">
        <f t="shared" si="3"/>
        <v>CE</v>
      </c>
      <c r="J38" s="2" t="b">
        <f t="shared" si="4"/>
        <v>1</v>
      </c>
      <c r="K38" s="5" t="str" cm="1">
        <f t="array" ref="K38:AK38">_xlfn.TEXTSPLIT(G38, " ")</f>
        <v>02</v>
      </c>
      <c r="L38" s="5" t="str">
        <v>20</v>
      </c>
      <c r="M38" s="5" t="str">
        <v>e0</v>
      </c>
      <c r="N38" s="5" t="str">
        <v>04</v>
      </c>
      <c r="O38" s="5" t="str">
        <v>00</v>
      </c>
      <c r="P38" s="5" t="str">
        <v>00</v>
      </c>
      <c r="Q38" s="5" t="str">
        <v>00</v>
      </c>
      <c r="R38" s="5" t="str">
        <v>06</v>
      </c>
      <c r="S38" s="5" t="str">
        <v>02</v>
      </c>
      <c r="T38" s="5" t="str">
        <v>20</v>
      </c>
      <c r="U38" s="5" t="str">
        <v>e0</v>
      </c>
      <c r="V38" s="5" t="str">
        <v>04</v>
      </c>
      <c r="W38" s="5" t="str">
        <v>00</v>
      </c>
      <c r="X38" s="5" t="str">
        <v>29</v>
      </c>
      <c r="Y38" s="5" t="str">
        <v>3c</v>
      </c>
      <c r="Z38" s="5" t="str">
        <v>80</v>
      </c>
      <c r="AA38" s="8" t="str">
        <v>5f</v>
      </c>
      <c r="AB38" s="5" t="str">
        <v>0d</v>
      </c>
      <c r="AC38" s="5" t="str">
        <v>00</v>
      </c>
      <c r="AD38" s="5" t="str">
        <v>0e</v>
      </c>
      <c r="AE38" s="5" t="str">
        <v>e0</v>
      </c>
      <c r="AF38" s="5" t="str">
        <v>00</v>
      </c>
      <c r="AG38" s="5" t="str">
        <v>00</v>
      </c>
      <c r="AH38" s="5" t="str">
        <v>89</v>
      </c>
      <c r="AI38" s="5" t="str">
        <v>00</v>
      </c>
      <c r="AJ38" s="5" t="str">
        <v>00</v>
      </c>
      <c r="AK38" s="5" t="str">
        <v>ce</v>
      </c>
    </row>
    <row r="39" spans="1:37" ht="22" customHeight="1" x14ac:dyDescent="0.3">
      <c r="A39" s="2" t="s">
        <v>1</v>
      </c>
      <c r="B39" s="2">
        <v>4</v>
      </c>
      <c r="C39" s="2">
        <v>30</v>
      </c>
      <c r="D39" s="2" t="s">
        <v>3</v>
      </c>
      <c r="E39" s="2" t="s">
        <v>3</v>
      </c>
      <c r="G39" s="9" t="s">
        <v>380</v>
      </c>
      <c r="H39" s="2" t="str" cm="1">
        <f t="array" ref="H39">_xlfn.LET(
  _xlpm.parts, _xlfn.TEXTSPLIT(G39, " "),
  _xlpm.count, COUNTA(_xlpm.parts),
  _xlpm.sum, SUM(--HEX2DEC(INDEX(_xlpm.parts, _xlfn.SEQUENCE(_xlpm.count - 1)))),
  "Dec: " &amp; _xlpm.sum &amp; " | Hex: " &amp; DEC2HEX(_xlpm.sum)
)</f>
        <v>Dec: 1258 | Hex: 4EA</v>
      </c>
      <c r="I39" s="2" t="str">
        <f t="shared" si="3"/>
        <v>DE</v>
      </c>
      <c r="J39" s="2" t="b">
        <f t="shared" si="4"/>
        <v>1</v>
      </c>
      <c r="K39" s="5" t="str" cm="1">
        <f t="array" ref="K39:AK39">_xlfn.TEXTSPLIT(G39, " ")</f>
        <v>02</v>
      </c>
      <c r="L39" s="5" t="str">
        <v>20</v>
      </c>
      <c r="M39" s="5" t="str">
        <v>e0</v>
      </c>
      <c r="N39" s="5" t="str">
        <v>04</v>
      </c>
      <c r="O39" s="5" t="str">
        <v>00</v>
      </c>
      <c r="P39" s="5" t="str">
        <v>00</v>
      </c>
      <c r="Q39" s="5" t="str">
        <v>00</v>
      </c>
      <c r="R39" s="5" t="str">
        <v>06</v>
      </c>
      <c r="S39" s="5" t="str">
        <v>02</v>
      </c>
      <c r="T39" s="5" t="str">
        <v>20</v>
      </c>
      <c r="U39" s="5" t="str">
        <v>e0</v>
      </c>
      <c r="V39" s="5" t="str">
        <v>04</v>
      </c>
      <c r="W39" s="5" t="str">
        <v>00</v>
      </c>
      <c r="X39" s="5" t="str">
        <v>29</v>
      </c>
      <c r="Y39" s="5" t="str">
        <v>3c</v>
      </c>
      <c r="Z39" s="5" t="str">
        <v>80</v>
      </c>
      <c r="AA39" s="8" t="str">
        <v>6f</v>
      </c>
      <c r="AB39" s="5" t="str">
        <v>0d</v>
      </c>
      <c r="AC39" s="5" t="str">
        <v>00</v>
      </c>
      <c r="AD39" s="5" t="str">
        <v>0e</v>
      </c>
      <c r="AE39" s="5" t="str">
        <v>e0</v>
      </c>
      <c r="AF39" s="5" t="str">
        <v>00</v>
      </c>
      <c r="AG39" s="5" t="str">
        <v>00</v>
      </c>
      <c r="AH39" s="5" t="str">
        <v>89</v>
      </c>
      <c r="AI39" s="5" t="str">
        <v>00</v>
      </c>
      <c r="AJ39" s="5" t="str">
        <v>00</v>
      </c>
      <c r="AK39" s="5" t="str">
        <v>de</v>
      </c>
    </row>
    <row r="40" spans="1:37" ht="22" customHeight="1" x14ac:dyDescent="0.3">
      <c r="A40" s="2" t="s">
        <v>1</v>
      </c>
      <c r="B40" s="2">
        <v>5</v>
      </c>
      <c r="C40" s="2">
        <v>30</v>
      </c>
      <c r="D40" s="2" t="s">
        <v>3</v>
      </c>
      <c r="E40" s="2" t="s">
        <v>3</v>
      </c>
      <c r="F40" s="6"/>
      <c r="G40" s="5" t="s">
        <v>381</v>
      </c>
      <c r="H40" s="2" t="str" cm="1">
        <f t="array" ref="H40">_xlfn.LET(
  _xlpm.parts, _xlfn.TEXTSPLIT(G40, " "),
  _xlpm.count, COUNTA(_xlpm.parts),
  _xlpm.sum, SUM(--HEX2DEC(INDEX(_xlpm.parts, _xlfn.SEQUENCE(_xlpm.count - 1)))),
  "Dec: " &amp; _xlpm.sum &amp; " | Hex: " &amp; DEC2HEX(_xlpm.sum)
)</f>
        <v>Dec: 1274 | Hex: 4FA</v>
      </c>
      <c r="I40" s="2" t="str">
        <f t="shared" si="3"/>
        <v>EE</v>
      </c>
      <c r="J40" s="2" t="b">
        <f t="shared" si="4"/>
        <v>1</v>
      </c>
      <c r="K40" s="5" t="str" cm="1">
        <f t="array" ref="K40:AK40">_xlfn.TEXTSPLIT(G40, " ")</f>
        <v>02</v>
      </c>
      <c r="L40" s="5" t="str">
        <v>20</v>
      </c>
      <c r="M40" s="5" t="str">
        <v>e0</v>
      </c>
      <c r="N40" s="5" t="str">
        <v>04</v>
      </c>
      <c r="O40" s="5" t="str">
        <v>00</v>
      </c>
      <c r="P40" s="5" t="str">
        <v>00</v>
      </c>
      <c r="Q40" s="5" t="str">
        <v>00</v>
      </c>
      <c r="R40" s="5" t="str">
        <v>06</v>
      </c>
      <c r="S40" s="5" t="str">
        <v>02</v>
      </c>
      <c r="T40" s="5" t="str">
        <v>20</v>
      </c>
      <c r="U40" s="5" t="str">
        <v>e0</v>
      </c>
      <c r="V40" s="5" t="str">
        <v>04</v>
      </c>
      <c r="W40" s="5" t="str">
        <v>00</v>
      </c>
      <c r="X40" s="5" t="str">
        <v>29</v>
      </c>
      <c r="Y40" s="5" t="str">
        <v>3c</v>
      </c>
      <c r="Z40" s="5" t="str">
        <v>80</v>
      </c>
      <c r="AA40" s="8" t="str">
        <v>7f</v>
      </c>
      <c r="AB40" s="5" t="str">
        <v>0d</v>
      </c>
      <c r="AC40" s="5" t="str">
        <v>00</v>
      </c>
      <c r="AD40" s="5" t="str">
        <v>0e</v>
      </c>
      <c r="AE40" s="5" t="str">
        <v>e0</v>
      </c>
      <c r="AF40" s="5" t="str">
        <v>00</v>
      </c>
      <c r="AG40" s="5" t="str">
        <v>00</v>
      </c>
      <c r="AH40" s="5" t="str">
        <v>89</v>
      </c>
      <c r="AI40" s="5" t="str">
        <v>00</v>
      </c>
      <c r="AJ40" s="5" t="str">
        <v>00</v>
      </c>
      <c r="AK40" s="5" t="str">
        <v>ee</v>
      </c>
    </row>
    <row r="41" spans="1:37" ht="22" customHeight="1" x14ac:dyDescent="0.3">
      <c r="A41" s="2"/>
      <c r="B41" s="2"/>
      <c r="C41" s="2"/>
      <c r="D41" s="2"/>
      <c r="E41" s="2"/>
      <c r="H41" s="2"/>
      <c r="I41" s="2"/>
      <c r="J41" s="2"/>
    </row>
    <row r="42" spans="1:37" ht="22" customHeight="1" x14ac:dyDescent="0.3">
      <c r="A42" s="2" t="s">
        <v>1</v>
      </c>
      <c r="B42" s="2" t="s">
        <v>8</v>
      </c>
      <c r="C42" s="2">
        <v>30</v>
      </c>
      <c r="D42" s="2" t="s">
        <v>3</v>
      </c>
      <c r="E42" s="2" t="s">
        <v>3</v>
      </c>
      <c r="F42" s="6"/>
      <c r="G42" s="5" t="s">
        <v>382</v>
      </c>
      <c r="H42" s="2" t="str" cm="1">
        <f t="array" ref="H42">_xlfn.LET(
  _xlpm.parts, _xlfn.TEXTSPLIT(G42, " "),
  _xlpm.count, COUNTA(_xlpm.parts),
  _xlpm.sum, SUM(--HEX2DEC(INDEX(_xlpm.parts, _xlfn.SEQUENCE(_xlpm.count - 1)))),
  "Dec: " &amp; _xlpm.sum &amp; " | Hex: " &amp; DEC2HEX(_xlpm.sum)
)</f>
        <v>Dec: 1323 | Hex: 52B</v>
      </c>
      <c r="I42" s="2" t="str">
        <f t="shared" ref="I42:I43" si="5">DEC2HEX(MOD(VALUE(MID(H42, 6, FIND("|", H42)-7)) - 12, 256), 2)</f>
        <v>1F</v>
      </c>
      <c r="J42" s="2" t="b">
        <f t="shared" ref="J42:J43" si="6">I42=AK42</f>
        <v>1</v>
      </c>
      <c r="K42" s="5" t="str" cm="1">
        <f t="array" ref="K42:AK42">_xlfn.TEXTSPLIT(G42, " ")</f>
        <v>02</v>
      </c>
      <c r="L42" s="5" t="str">
        <v>20</v>
      </c>
      <c r="M42" s="5" t="str">
        <v>e0</v>
      </c>
      <c r="N42" s="5" t="str">
        <v>04</v>
      </c>
      <c r="O42" s="5" t="str">
        <v>00</v>
      </c>
      <c r="P42" s="5" t="str">
        <v>00</v>
      </c>
      <c r="Q42" s="5" t="str">
        <v>00</v>
      </c>
      <c r="R42" s="5" t="str">
        <v>06</v>
      </c>
      <c r="S42" s="5" t="str">
        <v>02</v>
      </c>
      <c r="T42" s="5" t="str">
        <v>20</v>
      </c>
      <c r="U42" s="5" t="str">
        <v>e0</v>
      </c>
      <c r="V42" s="5" t="str">
        <v>04</v>
      </c>
      <c r="W42" s="5" t="str">
        <v>00</v>
      </c>
      <c r="X42" s="5" t="str">
        <v>29</v>
      </c>
      <c r="Y42" s="5" t="str">
        <v>3c</v>
      </c>
      <c r="Z42" s="5" t="str">
        <v>80</v>
      </c>
      <c r="AA42" s="5" t="str">
        <v>af</v>
      </c>
      <c r="AB42" s="5" t="str">
        <v>0d</v>
      </c>
      <c r="AC42" s="5" t="str">
        <v>00</v>
      </c>
      <c r="AD42" s="5" t="str">
        <v>0e</v>
      </c>
      <c r="AE42" s="5" t="str">
        <v>e0</v>
      </c>
      <c r="AF42" s="8" t="str">
        <v>01</v>
      </c>
      <c r="AG42" s="5" t="str">
        <v>00</v>
      </c>
      <c r="AH42" s="5" t="str">
        <v>89</v>
      </c>
      <c r="AI42" s="5" t="str">
        <v>00</v>
      </c>
      <c r="AJ42" s="5" t="str">
        <v>00</v>
      </c>
      <c r="AK42" s="5" t="str">
        <v>1f</v>
      </c>
    </row>
    <row r="43" spans="1:37" ht="22" customHeight="1" x14ac:dyDescent="0.3">
      <c r="A43" s="2" t="s">
        <v>1</v>
      </c>
      <c r="B43" s="2" t="s">
        <v>405</v>
      </c>
      <c r="C43" s="2">
        <v>30</v>
      </c>
      <c r="D43" s="2" t="s">
        <v>3</v>
      </c>
      <c r="E43" s="2" t="s">
        <v>3</v>
      </c>
      <c r="F43" s="6"/>
      <c r="G43" s="5" t="s">
        <v>383</v>
      </c>
      <c r="H43" s="2" t="str" cm="1">
        <f t="array" ref="H43">_xlfn.LET(
  _xlpm.parts, _xlfn.TEXTSPLIT(G43, " "),
  _xlpm.count, COUNTA(_xlpm.parts),
  _xlpm.sum, SUM(--HEX2DEC(INDEX(_xlpm.parts, _xlfn.SEQUENCE(_xlpm.count - 1)))),
  "Dec: " &amp; _xlpm.sum &amp; " | Hex: " &amp; DEC2HEX(_xlpm.sum)
)</f>
        <v>Dec: 1354 | Hex: 54A</v>
      </c>
      <c r="I43" s="2" t="str">
        <f t="shared" si="5"/>
        <v>3E</v>
      </c>
      <c r="J43" s="2" t="b">
        <f t="shared" si="6"/>
        <v>1</v>
      </c>
      <c r="K43" s="5" t="str" cm="1">
        <f t="array" ref="K43:AK43">_xlfn.TEXTSPLIT(G43, " ")</f>
        <v>02</v>
      </c>
      <c r="L43" s="5" t="str">
        <v>20</v>
      </c>
      <c r="M43" s="5" t="str">
        <v>e0</v>
      </c>
      <c r="N43" s="5" t="str">
        <v>04</v>
      </c>
      <c r="O43" s="5" t="str">
        <v>00</v>
      </c>
      <c r="P43" s="5" t="str">
        <v>00</v>
      </c>
      <c r="Q43" s="5" t="str">
        <v>00</v>
      </c>
      <c r="R43" s="5" t="str">
        <v>06</v>
      </c>
      <c r="S43" s="5" t="str">
        <v>02</v>
      </c>
      <c r="T43" s="5" t="str">
        <v>20</v>
      </c>
      <c r="U43" s="5" t="str">
        <v>e0</v>
      </c>
      <c r="V43" s="5" t="str">
        <v>04</v>
      </c>
      <c r="W43" s="5" t="str">
        <v>00</v>
      </c>
      <c r="X43" s="5" t="str">
        <v>29</v>
      </c>
      <c r="Y43" s="5" t="str">
        <v>3c</v>
      </c>
      <c r="Z43" s="5" t="str">
        <v>80</v>
      </c>
      <c r="AA43" s="5" t="str">
        <v>af</v>
      </c>
      <c r="AB43" s="5" t="str">
        <v>0d</v>
      </c>
      <c r="AC43" s="5" t="str">
        <v>00</v>
      </c>
      <c r="AD43" s="5" t="str">
        <v>0e</v>
      </c>
      <c r="AE43" s="5" t="str">
        <v>e0</v>
      </c>
      <c r="AF43" s="8" t="str">
        <v>20</v>
      </c>
      <c r="AG43" s="5" t="str">
        <v>00</v>
      </c>
      <c r="AH43" s="5" t="str">
        <v>89</v>
      </c>
      <c r="AI43" s="5" t="str">
        <v>00</v>
      </c>
      <c r="AJ43" s="5" t="str">
        <v>00</v>
      </c>
      <c r="AK43" s="5" t="str">
        <v>3e</v>
      </c>
    </row>
    <row r="44" spans="1:37" ht="22" customHeight="1" x14ac:dyDescent="0.3">
      <c r="A44" s="2"/>
      <c r="B44" s="2"/>
      <c r="C44" s="2"/>
      <c r="D44" s="2"/>
      <c r="E44" s="2"/>
      <c r="H44" s="2"/>
      <c r="I44" s="2"/>
      <c r="J44" s="2"/>
    </row>
    <row r="45" spans="1:37" ht="22" customHeight="1" x14ac:dyDescent="0.3">
      <c r="A45" s="2" t="s">
        <v>10</v>
      </c>
      <c r="B45" s="2" t="s">
        <v>5</v>
      </c>
      <c r="C45" s="2">
        <v>30</v>
      </c>
      <c r="D45" s="2" t="s">
        <v>3</v>
      </c>
      <c r="E45" s="2" t="s">
        <v>3</v>
      </c>
      <c r="F45" s="6"/>
      <c r="G45" s="5" t="s">
        <v>331</v>
      </c>
      <c r="H45" s="2" t="str" cm="1">
        <f t="array" ref="H45">_xlfn.LET(
  _xlpm.parts, _xlfn.TEXTSPLIT(G45, " "),
  _xlpm.count, COUNTA(_xlpm.parts),
  _xlpm.sum, SUM(--HEX2DEC(INDEX(_xlpm.parts, _xlfn.SEQUENCE(_xlpm.count - 1)))),
  "Dec: " &amp; _xlpm.sum &amp; " | Hex: " &amp; DEC2HEX(_xlpm.sum)
)</f>
        <v>Dec: 1322 | Hex: 52A</v>
      </c>
      <c r="I45" s="2" t="str">
        <f t="shared" ref="I45:I50" si="7">DEC2HEX(MOD(VALUE(MID(H45, 6, FIND("|", H45)-7)) - 12, 256), 2)</f>
        <v>1E</v>
      </c>
      <c r="J45" s="2" t="b">
        <f t="shared" ref="J45:J50" si="8">I45=AK45</f>
        <v>1</v>
      </c>
      <c r="K45" s="5" t="str" cm="1">
        <f t="array" ref="K45:AK45">_xlfn.TEXTSPLIT(G45, " ")</f>
        <v>02</v>
      </c>
      <c r="L45" s="5" t="str">
        <v>20</v>
      </c>
      <c r="M45" s="5" t="str">
        <v>e0</v>
      </c>
      <c r="N45" s="5" t="str">
        <v>04</v>
      </c>
      <c r="O45" s="5" t="str">
        <v>00</v>
      </c>
      <c r="P45" s="5" t="str">
        <v>00</v>
      </c>
      <c r="Q45" s="5" t="str">
        <v>00</v>
      </c>
      <c r="R45" s="5" t="str">
        <v>06</v>
      </c>
      <c r="S45" s="5" t="str">
        <v>02</v>
      </c>
      <c r="T45" s="5" t="str">
        <v>20</v>
      </c>
      <c r="U45" s="5" t="str">
        <v>e0</v>
      </c>
      <c r="V45" s="5" t="str">
        <v>04</v>
      </c>
      <c r="W45" s="5" t="str">
        <v>00</v>
      </c>
      <c r="X45" s="5" t="str">
        <v>29</v>
      </c>
      <c r="Y45" s="5" t="str">
        <v>3c</v>
      </c>
      <c r="Z45" s="5" t="str">
        <v>80</v>
      </c>
      <c r="AA45" s="5" t="str">
        <v>af</v>
      </c>
      <c r="AB45" s="8" t="str">
        <v>0d</v>
      </c>
      <c r="AC45" s="5" t="str">
        <v>00</v>
      </c>
      <c r="AD45" s="5" t="str">
        <v>0e</v>
      </c>
      <c r="AE45" s="5" t="str">
        <v>e0</v>
      </c>
      <c r="AF45" s="5" t="str">
        <v>00</v>
      </c>
      <c r="AG45" s="5" t="str">
        <v>00</v>
      </c>
      <c r="AH45" s="5" t="str">
        <v>89</v>
      </c>
      <c r="AI45" s="5" t="str">
        <v>00</v>
      </c>
      <c r="AJ45" s="5" t="str">
        <v>00</v>
      </c>
      <c r="AK45" s="5" t="str">
        <v>1e</v>
      </c>
    </row>
    <row r="46" spans="1:37" ht="22" customHeight="1" x14ac:dyDescent="0.3">
      <c r="A46" s="2" t="s">
        <v>10</v>
      </c>
      <c r="B46" s="2" t="s">
        <v>5</v>
      </c>
      <c r="C46" s="2">
        <v>30</v>
      </c>
      <c r="D46" s="2">
        <v>1</v>
      </c>
      <c r="E46" s="2" t="s">
        <v>3</v>
      </c>
      <c r="F46" s="6"/>
      <c r="G46" s="5" t="s">
        <v>384</v>
      </c>
      <c r="H46" s="2" t="str" cm="1">
        <f t="array" ref="H46">_xlfn.LET(
  _xlpm.parts, _xlfn.TEXTSPLIT(G46, " "),
  _xlpm.count, COUNTA(_xlpm.parts),
  _xlpm.sum, SUM(--HEX2DEC(INDEX(_xlpm.parts, _xlfn.SEQUENCE(_xlpm.count - 1)))),
  "Dec: " &amp; _xlpm.sum &amp; " | Hex: " &amp; DEC2HEX(_xlpm.sum)
)</f>
        <v>Dec: 1315 | Hex: 523</v>
      </c>
      <c r="I46" s="2" t="str">
        <f t="shared" si="7"/>
        <v>17</v>
      </c>
      <c r="J46" s="2" t="b">
        <f t="shared" si="8"/>
        <v>1</v>
      </c>
      <c r="K46" s="5" t="str" cm="1">
        <f t="array" ref="K46:AK46">_xlfn.TEXTSPLIT(G46, " ")</f>
        <v>02</v>
      </c>
      <c r="L46" s="5" t="str">
        <v>20</v>
      </c>
      <c r="M46" s="5" t="str">
        <v>e0</v>
      </c>
      <c r="N46" s="5" t="str">
        <v>04</v>
      </c>
      <c r="O46" s="5" t="str">
        <v>00</v>
      </c>
      <c r="P46" s="5" t="str">
        <v>00</v>
      </c>
      <c r="Q46" s="5" t="str">
        <v>00</v>
      </c>
      <c r="R46" s="5" t="str">
        <v>06</v>
      </c>
      <c r="S46" s="5" t="str">
        <v>02</v>
      </c>
      <c r="T46" s="5" t="str">
        <v>20</v>
      </c>
      <c r="U46" s="5" t="str">
        <v>e0</v>
      </c>
      <c r="V46" s="5" t="str">
        <v>04</v>
      </c>
      <c r="W46" s="5" t="str">
        <v>00</v>
      </c>
      <c r="X46" s="5" t="str">
        <v>29</v>
      </c>
      <c r="Y46" s="5" t="str">
        <v>3c</v>
      </c>
      <c r="Z46" s="5" t="str">
        <v>80</v>
      </c>
      <c r="AA46" s="5" t="str">
        <v>af</v>
      </c>
      <c r="AB46" s="8" t="str">
        <v>06</v>
      </c>
      <c r="AC46" s="5" t="str">
        <v>00</v>
      </c>
      <c r="AD46" s="5" t="str">
        <v>0e</v>
      </c>
      <c r="AE46" s="5" t="str">
        <v>e0</v>
      </c>
      <c r="AF46" s="5" t="str">
        <v>00</v>
      </c>
      <c r="AG46" s="5" t="str">
        <v>00</v>
      </c>
      <c r="AH46" s="5" t="str">
        <v>89</v>
      </c>
      <c r="AI46" s="5" t="str">
        <v>00</v>
      </c>
      <c r="AJ46" s="5" t="str">
        <v>00</v>
      </c>
      <c r="AK46" s="5" t="str">
        <v>17</v>
      </c>
    </row>
    <row r="47" spans="1:37" ht="22" customHeight="1" x14ac:dyDescent="0.3">
      <c r="A47" s="2" t="s">
        <v>10</v>
      </c>
      <c r="B47" s="2" t="s">
        <v>5</v>
      </c>
      <c r="C47" s="2">
        <v>30</v>
      </c>
      <c r="D47" s="2">
        <v>2</v>
      </c>
      <c r="E47" s="2" t="s">
        <v>3</v>
      </c>
      <c r="G47" s="5" t="s">
        <v>385</v>
      </c>
      <c r="H47" s="2" t="str" cm="1">
        <f t="array" ref="H47">_xlfn.LET(
  _xlpm.parts, _xlfn.TEXTSPLIT(G47, " "),
  _xlpm.count, COUNTA(_xlpm.parts),
  _xlpm.sum, SUM(--HEX2DEC(INDEX(_xlpm.parts, _xlfn.SEQUENCE(_xlpm.count - 1)))),
  "Dec: " &amp; _xlpm.sum &amp; " | Hex: " &amp; DEC2HEX(_xlpm.sum)
)</f>
        <v>Dec: 1318 | Hex: 526</v>
      </c>
      <c r="I47" s="2" t="str">
        <f t="shared" si="7"/>
        <v>1A</v>
      </c>
      <c r="J47" s="2" t="b">
        <f t="shared" si="8"/>
        <v>1</v>
      </c>
      <c r="K47" s="5" t="str" cm="1">
        <f t="array" ref="K47:AK47">_xlfn.TEXTSPLIT(G47, " ")</f>
        <v>02</v>
      </c>
      <c r="L47" s="5" t="str">
        <v>20</v>
      </c>
      <c r="M47" s="5" t="str">
        <v>e0</v>
      </c>
      <c r="N47" s="5" t="str">
        <v>04</v>
      </c>
      <c r="O47" s="5" t="str">
        <v>00</v>
      </c>
      <c r="P47" s="5" t="str">
        <v>00</v>
      </c>
      <c r="Q47" s="5" t="str">
        <v>00</v>
      </c>
      <c r="R47" s="5" t="str">
        <v>06</v>
      </c>
      <c r="S47" s="5" t="str">
        <v>02</v>
      </c>
      <c r="T47" s="5" t="str">
        <v>20</v>
      </c>
      <c r="U47" s="5" t="str">
        <v>e0</v>
      </c>
      <c r="V47" s="5" t="str">
        <v>04</v>
      </c>
      <c r="W47" s="5" t="str">
        <v>00</v>
      </c>
      <c r="X47" s="5" t="str">
        <v>29</v>
      </c>
      <c r="Y47" s="5" t="str">
        <v>3c</v>
      </c>
      <c r="Z47" s="5" t="str">
        <v>80</v>
      </c>
      <c r="AA47" s="5" t="str">
        <v>af</v>
      </c>
      <c r="AB47" s="8" t="str">
        <v>09</v>
      </c>
      <c r="AC47" s="5" t="str">
        <v>00</v>
      </c>
      <c r="AD47" s="5" t="str">
        <v>0e</v>
      </c>
      <c r="AE47" s="5" t="str">
        <v>e0</v>
      </c>
      <c r="AF47" s="5" t="str">
        <v>00</v>
      </c>
      <c r="AG47" s="5" t="str">
        <v>00</v>
      </c>
      <c r="AH47" s="5" t="str">
        <v>89</v>
      </c>
      <c r="AI47" s="5" t="str">
        <v>00</v>
      </c>
      <c r="AJ47" s="5" t="str">
        <v>00</v>
      </c>
      <c r="AK47" s="5" t="str">
        <v>1a</v>
      </c>
    </row>
    <row r="48" spans="1:37" ht="22" customHeight="1" x14ac:dyDescent="0.3">
      <c r="A48" s="2" t="s">
        <v>10</v>
      </c>
      <c r="B48" s="2" t="s">
        <v>5</v>
      </c>
      <c r="C48" s="2">
        <v>30</v>
      </c>
      <c r="D48" s="2">
        <v>3</v>
      </c>
      <c r="E48" s="2" t="s">
        <v>3</v>
      </c>
      <c r="G48" s="5" t="s">
        <v>386</v>
      </c>
      <c r="H48" s="2" t="str" cm="1">
        <f t="array" ref="H48">_xlfn.LET(
  _xlpm.parts, _xlfn.TEXTSPLIT(G48, " "),
  _xlpm.count, COUNTA(_xlpm.parts),
  _xlpm.sum, SUM(--HEX2DEC(INDEX(_xlpm.parts, _xlfn.SEQUENCE(_xlpm.count - 1)))),
  "Dec: " &amp; _xlpm.sum &amp; " | Hex: " &amp; DEC2HEX(_xlpm.sum)
)</f>
        <v>Dec: 1319 | Hex: 527</v>
      </c>
      <c r="I48" s="2" t="str">
        <f t="shared" si="7"/>
        <v>1B</v>
      </c>
      <c r="J48" s="2" t="b">
        <f t="shared" si="8"/>
        <v>1</v>
      </c>
      <c r="K48" s="5" t="str" cm="1">
        <f t="array" ref="K48:AK48">_xlfn.TEXTSPLIT(G48, " ")</f>
        <v>02</v>
      </c>
      <c r="L48" s="5" t="str">
        <v>20</v>
      </c>
      <c r="M48" s="5" t="str">
        <v>e0</v>
      </c>
      <c r="N48" s="5" t="str">
        <v>04</v>
      </c>
      <c r="O48" s="5" t="str">
        <v>00</v>
      </c>
      <c r="P48" s="5" t="str">
        <v>00</v>
      </c>
      <c r="Q48" s="5" t="str">
        <v>00</v>
      </c>
      <c r="R48" s="5" t="str">
        <v>06</v>
      </c>
      <c r="S48" s="5" t="str">
        <v>02</v>
      </c>
      <c r="T48" s="5" t="str">
        <v>20</v>
      </c>
      <c r="U48" s="5" t="str">
        <v>e0</v>
      </c>
      <c r="V48" s="5" t="str">
        <v>04</v>
      </c>
      <c r="W48" s="5" t="str">
        <v>00</v>
      </c>
      <c r="X48" s="5" t="str">
        <v>29</v>
      </c>
      <c r="Y48" s="5" t="str">
        <v>3c</v>
      </c>
      <c r="Z48" s="5" t="str">
        <v>80</v>
      </c>
      <c r="AA48" s="5" t="str">
        <v>af</v>
      </c>
      <c r="AB48" s="8" t="str">
        <v>0a</v>
      </c>
      <c r="AC48" s="5" t="str">
        <v>00</v>
      </c>
      <c r="AD48" s="5" t="str">
        <v>0e</v>
      </c>
      <c r="AE48" s="5" t="str">
        <v>e0</v>
      </c>
      <c r="AF48" s="5" t="str">
        <v>00</v>
      </c>
      <c r="AG48" s="5" t="str">
        <v>00</v>
      </c>
      <c r="AH48" s="5" t="str">
        <v>89</v>
      </c>
      <c r="AI48" s="5" t="str">
        <v>00</v>
      </c>
      <c r="AJ48" s="5" t="str">
        <v>00</v>
      </c>
      <c r="AK48" s="5" t="str">
        <v>1b</v>
      </c>
    </row>
    <row r="49" spans="1:37" ht="22" customHeight="1" x14ac:dyDescent="0.3">
      <c r="A49" s="2" t="s">
        <v>10</v>
      </c>
      <c r="B49" s="2" t="s">
        <v>5</v>
      </c>
      <c r="C49" s="2">
        <v>30</v>
      </c>
      <c r="D49" s="2">
        <v>4</v>
      </c>
      <c r="E49" s="2" t="s">
        <v>3</v>
      </c>
      <c r="G49" s="9" t="s">
        <v>387</v>
      </c>
      <c r="H49" s="2" t="str" cm="1">
        <f t="array" ref="H49">_xlfn.LET(
  _xlpm.parts, _xlfn.TEXTSPLIT(G49, " "),
  _xlpm.count, COUNTA(_xlpm.parts),
  _xlpm.sum, SUM(--HEX2DEC(INDEX(_xlpm.parts, _xlfn.SEQUENCE(_xlpm.count - 1)))),
  "Dec: " &amp; _xlpm.sum &amp; " | Hex: " &amp; DEC2HEX(_xlpm.sum)
)</f>
        <v>Dec: 1320 | Hex: 528</v>
      </c>
      <c r="I49" s="2" t="str">
        <f t="shared" si="7"/>
        <v>1C</v>
      </c>
      <c r="J49" s="2" t="b">
        <f t="shared" si="8"/>
        <v>1</v>
      </c>
      <c r="K49" s="5" t="str" cm="1">
        <f t="array" ref="K49:AK49">_xlfn.TEXTSPLIT(G49, " ")</f>
        <v>02</v>
      </c>
      <c r="L49" s="5" t="str">
        <v>20</v>
      </c>
      <c r="M49" s="5" t="str">
        <v>e0</v>
      </c>
      <c r="N49" s="5" t="str">
        <v>04</v>
      </c>
      <c r="O49" s="5" t="str">
        <v>00</v>
      </c>
      <c r="P49" s="5" t="str">
        <v>00</v>
      </c>
      <c r="Q49" s="5" t="str">
        <v>00</v>
      </c>
      <c r="R49" s="5" t="str">
        <v>06</v>
      </c>
      <c r="S49" s="5" t="str">
        <v>02</v>
      </c>
      <c r="T49" s="5" t="str">
        <v>20</v>
      </c>
      <c r="U49" s="5" t="str">
        <v>e0</v>
      </c>
      <c r="V49" s="5" t="str">
        <v>04</v>
      </c>
      <c r="W49" s="5" t="str">
        <v>00</v>
      </c>
      <c r="X49" s="5" t="str">
        <v>29</v>
      </c>
      <c r="Y49" s="5" t="str">
        <v>3c</v>
      </c>
      <c r="Z49" s="5" t="str">
        <v>80</v>
      </c>
      <c r="AA49" s="5" t="str">
        <v>af</v>
      </c>
      <c r="AB49" s="8" t="str">
        <v>0b</v>
      </c>
      <c r="AC49" s="5" t="str">
        <v>00</v>
      </c>
      <c r="AD49" s="5" t="str">
        <v>0e</v>
      </c>
      <c r="AE49" s="5" t="str">
        <v>e0</v>
      </c>
      <c r="AF49" s="5" t="str">
        <v>00</v>
      </c>
      <c r="AG49" s="5" t="str">
        <v>00</v>
      </c>
      <c r="AH49" s="5" t="str">
        <v>89</v>
      </c>
      <c r="AI49" s="5" t="str">
        <v>00</v>
      </c>
      <c r="AJ49" s="5" t="str">
        <v>00</v>
      </c>
      <c r="AK49" s="5" t="str">
        <v>1c</v>
      </c>
    </row>
    <row r="50" spans="1:37" ht="22" customHeight="1" x14ac:dyDescent="0.3">
      <c r="A50" s="2" t="s">
        <v>10</v>
      </c>
      <c r="B50" s="2" t="s">
        <v>5</v>
      </c>
      <c r="C50" s="2">
        <v>30</v>
      </c>
      <c r="D50" s="2">
        <v>5</v>
      </c>
      <c r="E50" s="2" t="s">
        <v>3</v>
      </c>
      <c r="F50" s="6"/>
      <c r="G50" s="5" t="s">
        <v>388</v>
      </c>
      <c r="H50" s="2" t="str" cm="1">
        <f t="array" ref="H50">_xlfn.LET(
  _xlpm.parts, _xlfn.TEXTSPLIT(G50, " "),
  _xlpm.count, COUNTA(_xlpm.parts),
  _xlpm.sum, SUM(--HEX2DEC(INDEX(_xlpm.parts, _xlfn.SEQUENCE(_xlpm.count - 1)))),
  "Dec: " &amp; _xlpm.sum &amp; " | Hex: " &amp; DEC2HEX(_xlpm.sum)
)</f>
        <v>Dec: 1321 | Hex: 529</v>
      </c>
      <c r="I50" s="2" t="str">
        <f t="shared" si="7"/>
        <v>1D</v>
      </c>
      <c r="J50" s="2" t="b">
        <f t="shared" si="8"/>
        <v>1</v>
      </c>
      <c r="K50" s="5" t="str" cm="1">
        <f t="array" ref="K50:AK50">_xlfn.TEXTSPLIT(G50, " ")</f>
        <v>02</v>
      </c>
      <c r="L50" s="5" t="str">
        <v>20</v>
      </c>
      <c r="M50" s="5" t="str">
        <v>e0</v>
      </c>
      <c r="N50" s="5" t="str">
        <v>04</v>
      </c>
      <c r="O50" s="5" t="str">
        <v>00</v>
      </c>
      <c r="P50" s="5" t="str">
        <v>00</v>
      </c>
      <c r="Q50" s="5" t="str">
        <v>00</v>
      </c>
      <c r="R50" s="5" t="str">
        <v>06</v>
      </c>
      <c r="S50" s="5" t="str">
        <v>02</v>
      </c>
      <c r="T50" s="5" t="str">
        <v>20</v>
      </c>
      <c r="U50" s="5" t="str">
        <v>e0</v>
      </c>
      <c r="V50" s="5" t="str">
        <v>04</v>
      </c>
      <c r="W50" s="5" t="str">
        <v>00</v>
      </c>
      <c r="X50" s="5" t="str">
        <v>29</v>
      </c>
      <c r="Y50" s="5" t="str">
        <v>3c</v>
      </c>
      <c r="Z50" s="5" t="str">
        <v>80</v>
      </c>
      <c r="AA50" s="5" t="str">
        <v>af</v>
      </c>
      <c r="AB50" s="8" t="str">
        <v>0c</v>
      </c>
      <c r="AC50" s="5" t="str">
        <v>00</v>
      </c>
      <c r="AD50" s="5" t="str">
        <v>0e</v>
      </c>
      <c r="AE50" s="5" t="str">
        <v>e0</v>
      </c>
      <c r="AF50" s="5" t="str">
        <v>00</v>
      </c>
      <c r="AG50" s="5" t="str">
        <v>00</v>
      </c>
      <c r="AH50" s="5" t="str">
        <v>89</v>
      </c>
      <c r="AI50" s="5" t="str">
        <v>00</v>
      </c>
      <c r="AJ50" s="5" t="str">
        <v>00</v>
      </c>
      <c r="AK50" s="5" t="str">
        <v>1d</v>
      </c>
    </row>
    <row r="51" spans="1:37" ht="22" customHeight="1" x14ac:dyDescent="0.3">
      <c r="A51" s="2"/>
      <c r="B51" s="2"/>
      <c r="C51" s="2"/>
      <c r="D51" s="2"/>
      <c r="E51" s="2"/>
      <c r="H51" s="2"/>
      <c r="I51" s="2"/>
      <c r="J51" s="2"/>
    </row>
    <row r="52" spans="1:37" ht="22" customHeight="1" x14ac:dyDescent="0.3">
      <c r="A52" s="2" t="s">
        <v>10</v>
      </c>
      <c r="B52" s="2" t="s">
        <v>5</v>
      </c>
      <c r="C52" s="2">
        <v>30</v>
      </c>
      <c r="D52" s="2" t="s">
        <v>3</v>
      </c>
      <c r="E52" s="2" t="s">
        <v>3</v>
      </c>
      <c r="F52" s="6"/>
      <c r="G52" s="5" t="s">
        <v>331</v>
      </c>
      <c r="H52" s="2" t="str" cm="1">
        <f t="array" ref="H52">_xlfn.LET(
  _xlpm.parts, _xlfn.TEXTSPLIT(G52, " "),
  _xlpm.count, COUNTA(_xlpm.parts),
  _xlpm.sum, SUM(--HEX2DEC(INDEX(_xlpm.parts, _xlfn.SEQUENCE(_xlpm.count - 1)))),
  "Dec: " &amp; _xlpm.sum &amp; " | Hex: " &amp; DEC2HEX(_xlpm.sum)
)</f>
        <v>Dec: 1322 | Hex: 52A</v>
      </c>
      <c r="I52" s="2" t="str">
        <f t="shared" ref="I52:I57" si="9">DEC2HEX(MOD(VALUE(MID(H52, 6, FIND("|", H52)-7)) - 12, 256), 2)</f>
        <v>1E</v>
      </c>
      <c r="J52" s="2" t="b">
        <f t="shared" ref="J52:J57" si="10">I52=AK52</f>
        <v>1</v>
      </c>
      <c r="K52" s="5" t="str" cm="1">
        <f t="array" ref="K52:AK52">_xlfn.TEXTSPLIT(G52, " ")</f>
        <v>02</v>
      </c>
      <c r="L52" s="5" t="str">
        <v>20</v>
      </c>
      <c r="M52" s="5" t="str">
        <v>e0</v>
      </c>
      <c r="N52" s="5" t="str">
        <v>04</v>
      </c>
      <c r="O52" s="5" t="str">
        <v>00</v>
      </c>
      <c r="P52" s="5" t="str">
        <v>00</v>
      </c>
      <c r="Q52" s="5" t="str">
        <v>00</v>
      </c>
      <c r="R52" s="5" t="str">
        <v>06</v>
      </c>
      <c r="S52" s="5" t="str">
        <v>02</v>
      </c>
      <c r="T52" s="5" t="str">
        <v>20</v>
      </c>
      <c r="U52" s="5" t="str">
        <v>e0</v>
      </c>
      <c r="V52" s="5" t="str">
        <v>04</v>
      </c>
      <c r="W52" s="5" t="str">
        <v>00</v>
      </c>
      <c r="X52" s="5" t="str">
        <v>29</v>
      </c>
      <c r="Y52" s="5" t="str">
        <v>3c</v>
      </c>
      <c r="Z52" s="5" t="str">
        <v>80</v>
      </c>
      <c r="AA52" s="8" t="str">
        <v>af</v>
      </c>
      <c r="AB52" s="5" t="str">
        <v>0d</v>
      </c>
      <c r="AC52" s="5" t="str">
        <v>00</v>
      </c>
      <c r="AD52" s="5" t="str">
        <v>0e</v>
      </c>
      <c r="AE52" s="5" t="str">
        <v>e0</v>
      </c>
      <c r="AF52" s="5" t="str">
        <v>00</v>
      </c>
      <c r="AG52" s="5" t="str">
        <v>00</v>
      </c>
      <c r="AH52" s="5" t="str">
        <v>89</v>
      </c>
      <c r="AI52" s="5" t="str">
        <v>00</v>
      </c>
      <c r="AJ52" s="5" t="str">
        <v>00</v>
      </c>
      <c r="AK52" s="5" t="str">
        <v>1e</v>
      </c>
    </row>
    <row r="53" spans="1:37" ht="22" customHeight="1" x14ac:dyDescent="0.3">
      <c r="A53" s="2" t="s">
        <v>10</v>
      </c>
      <c r="B53" s="2" t="s">
        <v>5</v>
      </c>
      <c r="C53" s="2">
        <v>30</v>
      </c>
      <c r="D53" s="2" t="s">
        <v>3</v>
      </c>
      <c r="E53" s="2">
        <v>1</v>
      </c>
      <c r="F53" s="6"/>
      <c r="G53" s="5" t="s">
        <v>389</v>
      </c>
      <c r="H53" s="2" t="str" cm="1">
        <f t="array" ref="H53">_xlfn.LET(
  _xlpm.parts, _xlfn.TEXTSPLIT(G53, " "),
  _xlpm.count, COUNTA(_xlpm.parts),
  _xlpm.sum, SUM(--HEX2DEC(INDEX(_xlpm.parts, _xlfn.SEQUENCE(_xlpm.count - 1)))),
  "Dec: " &amp; _xlpm.sum &amp; " | Hex: " &amp; DEC2HEX(_xlpm.sum)
)</f>
        <v>Dec: 1308 | Hex: 51C</v>
      </c>
      <c r="I53" s="2" t="str">
        <f t="shared" si="9"/>
        <v>10</v>
      </c>
      <c r="J53" s="2" t="b">
        <f t="shared" si="10"/>
        <v>1</v>
      </c>
      <c r="K53" s="5" t="str" cm="1">
        <f t="array" ref="K53:AK53">_xlfn.TEXTSPLIT(G53, " ")</f>
        <v>02</v>
      </c>
      <c r="L53" s="5" t="str">
        <v>20</v>
      </c>
      <c r="M53" s="5" t="str">
        <v>e0</v>
      </c>
      <c r="N53" s="5" t="str">
        <v>04</v>
      </c>
      <c r="O53" s="5" t="str">
        <v>00</v>
      </c>
      <c r="P53" s="5" t="str">
        <v>00</v>
      </c>
      <c r="Q53" s="5" t="str">
        <v>00</v>
      </c>
      <c r="R53" s="5" t="str">
        <v>06</v>
      </c>
      <c r="S53" s="5" t="str">
        <v>02</v>
      </c>
      <c r="T53" s="5" t="str">
        <v>20</v>
      </c>
      <c r="U53" s="5" t="str">
        <v>e0</v>
      </c>
      <c r="V53" s="5" t="str">
        <v>04</v>
      </c>
      <c r="W53" s="5" t="str">
        <v>00</v>
      </c>
      <c r="X53" s="5" t="str">
        <v>29</v>
      </c>
      <c r="Y53" s="5" t="str">
        <v>3c</v>
      </c>
      <c r="Z53" s="5" t="str">
        <v>80</v>
      </c>
      <c r="AA53" s="8" t="str">
        <v>a1</v>
      </c>
      <c r="AB53" s="5" t="str">
        <v>0d</v>
      </c>
      <c r="AC53" s="5" t="str">
        <v>00</v>
      </c>
      <c r="AD53" s="5" t="str">
        <v>0e</v>
      </c>
      <c r="AE53" s="5" t="str">
        <v>e0</v>
      </c>
      <c r="AF53" s="5" t="str">
        <v>00</v>
      </c>
      <c r="AG53" s="5" t="str">
        <v>00</v>
      </c>
      <c r="AH53" s="5" t="str">
        <v>89</v>
      </c>
      <c r="AI53" s="5" t="str">
        <v>00</v>
      </c>
      <c r="AJ53" s="5" t="str">
        <v>00</v>
      </c>
      <c r="AK53" s="5" t="str">
        <v>10</v>
      </c>
    </row>
    <row r="54" spans="1:37" ht="22" customHeight="1" x14ac:dyDescent="0.3">
      <c r="A54" s="2" t="s">
        <v>10</v>
      </c>
      <c r="B54" s="2" t="s">
        <v>5</v>
      </c>
      <c r="C54" s="2">
        <v>30</v>
      </c>
      <c r="D54" s="2" t="s">
        <v>3</v>
      </c>
      <c r="E54" s="2">
        <v>2</v>
      </c>
      <c r="G54" s="5" t="s">
        <v>390</v>
      </c>
      <c r="H54" s="2" t="str" cm="1">
        <f t="array" ref="H54">_xlfn.LET(
  _xlpm.parts, _xlfn.TEXTSPLIT(G54, " "),
  _xlpm.count, COUNTA(_xlpm.parts),
  _xlpm.sum, SUM(--HEX2DEC(INDEX(_xlpm.parts, _xlfn.SEQUENCE(_xlpm.count - 1)))),
  "Dec: " &amp; _xlpm.sum &amp; " | Hex: " &amp; DEC2HEX(_xlpm.sum)
)</f>
        <v>Dec: 1309 | Hex: 51D</v>
      </c>
      <c r="I54" s="2" t="str">
        <f t="shared" si="9"/>
        <v>11</v>
      </c>
      <c r="J54" s="2" t="b">
        <f t="shared" si="10"/>
        <v>1</v>
      </c>
      <c r="K54" s="5" t="str" cm="1">
        <f t="array" ref="K54:AK54">_xlfn.TEXTSPLIT(G54, " ")</f>
        <v>02</v>
      </c>
      <c r="L54" s="5" t="str">
        <v>20</v>
      </c>
      <c r="M54" s="5" t="str">
        <v>e0</v>
      </c>
      <c r="N54" s="5" t="str">
        <v>04</v>
      </c>
      <c r="O54" s="5" t="str">
        <v>00</v>
      </c>
      <c r="P54" s="5" t="str">
        <v>00</v>
      </c>
      <c r="Q54" s="5" t="str">
        <v>00</v>
      </c>
      <c r="R54" s="5" t="str">
        <v>06</v>
      </c>
      <c r="S54" s="5" t="str">
        <v>02</v>
      </c>
      <c r="T54" s="5" t="str">
        <v>20</v>
      </c>
      <c r="U54" s="5" t="str">
        <v>e0</v>
      </c>
      <c r="V54" s="5" t="str">
        <v>04</v>
      </c>
      <c r="W54" s="5" t="str">
        <v>00</v>
      </c>
      <c r="X54" s="5" t="str">
        <v>29</v>
      </c>
      <c r="Y54" s="5" t="str">
        <v>3c</v>
      </c>
      <c r="Z54" s="5" t="str">
        <v>80</v>
      </c>
      <c r="AA54" s="8" t="str">
        <v>a2</v>
      </c>
      <c r="AB54" s="5" t="str">
        <v>0d</v>
      </c>
      <c r="AC54" s="5" t="str">
        <v>00</v>
      </c>
      <c r="AD54" s="5" t="str">
        <v>0e</v>
      </c>
      <c r="AE54" s="5" t="str">
        <v>e0</v>
      </c>
      <c r="AF54" s="5" t="str">
        <v>00</v>
      </c>
      <c r="AG54" s="5" t="str">
        <v>00</v>
      </c>
      <c r="AH54" s="5" t="str">
        <v>89</v>
      </c>
      <c r="AI54" s="5" t="str">
        <v>00</v>
      </c>
      <c r="AJ54" s="5" t="str">
        <v>00</v>
      </c>
      <c r="AK54" s="5" t="str">
        <v>11</v>
      </c>
    </row>
    <row r="55" spans="1:37" ht="22" customHeight="1" x14ac:dyDescent="0.3">
      <c r="A55" s="2" t="s">
        <v>10</v>
      </c>
      <c r="B55" s="2" t="s">
        <v>5</v>
      </c>
      <c r="C55" s="2">
        <v>30</v>
      </c>
      <c r="D55" s="2" t="s">
        <v>3</v>
      </c>
      <c r="E55" s="2">
        <v>3</v>
      </c>
      <c r="G55" s="5" t="s">
        <v>391</v>
      </c>
      <c r="H55" s="2" t="str" cm="1">
        <f t="array" ref="H55">_xlfn.LET(
  _xlpm.parts, _xlfn.TEXTSPLIT(G55, " "),
  _xlpm.count, COUNTA(_xlpm.parts),
  _xlpm.sum, SUM(--HEX2DEC(INDEX(_xlpm.parts, _xlfn.SEQUENCE(_xlpm.count - 1)))),
  "Dec: " &amp; _xlpm.sum &amp; " | Hex: " &amp; DEC2HEX(_xlpm.sum)
)</f>
        <v>Dec: 1310 | Hex: 51E</v>
      </c>
      <c r="I55" s="2" t="str">
        <f t="shared" si="9"/>
        <v>12</v>
      </c>
      <c r="J55" s="2" t="b">
        <f t="shared" si="10"/>
        <v>1</v>
      </c>
      <c r="K55" s="5" t="str" cm="1">
        <f t="array" ref="K55:AK55">_xlfn.TEXTSPLIT(G55, " ")</f>
        <v>02</v>
      </c>
      <c r="L55" s="5" t="str">
        <v>20</v>
      </c>
      <c r="M55" s="5" t="str">
        <v>e0</v>
      </c>
      <c r="N55" s="5" t="str">
        <v>04</v>
      </c>
      <c r="O55" s="5" t="str">
        <v>00</v>
      </c>
      <c r="P55" s="5" t="str">
        <v>00</v>
      </c>
      <c r="Q55" s="5" t="str">
        <v>00</v>
      </c>
      <c r="R55" s="5" t="str">
        <v>06</v>
      </c>
      <c r="S55" s="5" t="str">
        <v>02</v>
      </c>
      <c r="T55" s="5" t="str">
        <v>20</v>
      </c>
      <c r="U55" s="5" t="str">
        <v>e0</v>
      </c>
      <c r="V55" s="5" t="str">
        <v>04</v>
      </c>
      <c r="W55" s="5" t="str">
        <v>00</v>
      </c>
      <c r="X55" s="5" t="str">
        <v>29</v>
      </c>
      <c r="Y55" s="5" t="str">
        <v>3c</v>
      </c>
      <c r="Z55" s="5" t="str">
        <v>80</v>
      </c>
      <c r="AA55" s="8" t="str">
        <v>a3</v>
      </c>
      <c r="AB55" s="5" t="str">
        <v>0d</v>
      </c>
      <c r="AC55" s="5" t="str">
        <v>00</v>
      </c>
      <c r="AD55" s="5" t="str">
        <v>0e</v>
      </c>
      <c r="AE55" s="5" t="str">
        <v>e0</v>
      </c>
      <c r="AF55" s="5" t="str">
        <v>00</v>
      </c>
      <c r="AG55" s="5" t="str">
        <v>00</v>
      </c>
      <c r="AH55" s="5" t="str">
        <v>89</v>
      </c>
      <c r="AI55" s="5" t="str">
        <v>00</v>
      </c>
      <c r="AJ55" s="5" t="str">
        <v>00</v>
      </c>
      <c r="AK55" s="5" t="str">
        <v>12</v>
      </c>
    </row>
    <row r="56" spans="1:37" ht="22" customHeight="1" x14ac:dyDescent="0.3">
      <c r="A56" s="2" t="s">
        <v>10</v>
      </c>
      <c r="B56" s="2" t="s">
        <v>5</v>
      </c>
      <c r="C56" s="2">
        <v>30</v>
      </c>
      <c r="D56" s="2" t="s">
        <v>3</v>
      </c>
      <c r="E56" s="2">
        <v>4</v>
      </c>
      <c r="G56" s="5" t="s">
        <v>392</v>
      </c>
      <c r="H56" s="2" t="str" cm="1">
        <f t="array" ref="H56">_xlfn.LET(
  _xlpm.parts, _xlfn.TEXTSPLIT(G56, " "),
  _xlpm.count, COUNTA(_xlpm.parts),
  _xlpm.sum, SUM(--HEX2DEC(INDEX(_xlpm.parts, _xlfn.SEQUENCE(_xlpm.count - 1)))),
  "Dec: " &amp; _xlpm.sum &amp; " | Hex: " &amp; DEC2HEX(_xlpm.sum)
)</f>
        <v>Dec: 1311 | Hex: 51F</v>
      </c>
      <c r="I56" s="2" t="str">
        <f t="shared" si="9"/>
        <v>13</v>
      </c>
      <c r="J56" s="2" t="b">
        <f t="shared" si="10"/>
        <v>1</v>
      </c>
      <c r="K56" s="5" t="str" cm="1">
        <f t="array" ref="K56:AK56">_xlfn.TEXTSPLIT(G56, " ")</f>
        <v>02</v>
      </c>
      <c r="L56" s="5" t="str">
        <v>20</v>
      </c>
      <c r="M56" s="5" t="str">
        <v>e0</v>
      </c>
      <c r="N56" s="5" t="str">
        <v>04</v>
      </c>
      <c r="O56" s="5" t="str">
        <v>00</v>
      </c>
      <c r="P56" s="5" t="str">
        <v>00</v>
      </c>
      <c r="Q56" s="5" t="str">
        <v>00</v>
      </c>
      <c r="R56" s="5" t="str">
        <v>06</v>
      </c>
      <c r="S56" s="5" t="str">
        <v>02</v>
      </c>
      <c r="T56" s="5" t="str">
        <v>20</v>
      </c>
      <c r="U56" s="5" t="str">
        <v>e0</v>
      </c>
      <c r="V56" s="5" t="str">
        <v>04</v>
      </c>
      <c r="W56" s="5" t="str">
        <v>00</v>
      </c>
      <c r="X56" s="5" t="str">
        <v>29</v>
      </c>
      <c r="Y56" s="5" t="str">
        <v>3c</v>
      </c>
      <c r="Z56" s="5" t="str">
        <v>80</v>
      </c>
      <c r="AA56" s="8" t="str">
        <v>a4</v>
      </c>
      <c r="AB56" s="5" t="str">
        <v>0d</v>
      </c>
      <c r="AC56" s="5" t="str">
        <v>00</v>
      </c>
      <c r="AD56" s="5" t="str">
        <v>0e</v>
      </c>
      <c r="AE56" s="5" t="str">
        <v>e0</v>
      </c>
      <c r="AF56" s="5" t="str">
        <v>00</v>
      </c>
      <c r="AG56" s="5" t="str">
        <v>00</v>
      </c>
      <c r="AH56" s="5" t="str">
        <v>89</v>
      </c>
      <c r="AI56" s="5" t="str">
        <v>00</v>
      </c>
      <c r="AJ56" s="5" t="str">
        <v>00</v>
      </c>
      <c r="AK56" s="5" t="str">
        <v>13</v>
      </c>
    </row>
    <row r="57" spans="1:37" ht="22" customHeight="1" x14ac:dyDescent="0.3">
      <c r="A57" s="2" t="s">
        <v>10</v>
      </c>
      <c r="B57" s="2" t="s">
        <v>5</v>
      </c>
      <c r="C57" s="2">
        <v>30</v>
      </c>
      <c r="D57" s="2" t="s">
        <v>3</v>
      </c>
      <c r="E57" s="2">
        <v>5</v>
      </c>
      <c r="F57" s="6"/>
      <c r="G57" s="5" t="s">
        <v>393</v>
      </c>
      <c r="H57" s="2" t="str" cm="1">
        <f t="array" ref="H57">_xlfn.LET(
  _xlpm.parts, _xlfn.TEXTSPLIT(G57, " "),
  _xlpm.count, COUNTA(_xlpm.parts),
  _xlpm.sum, SUM(--HEX2DEC(INDEX(_xlpm.parts, _xlfn.SEQUENCE(_xlpm.count - 1)))),
  "Dec: " &amp; _xlpm.sum &amp; " | Hex: " &amp; DEC2HEX(_xlpm.sum)
)</f>
        <v>Dec: 1312 | Hex: 520</v>
      </c>
      <c r="I57" s="2" t="str">
        <f t="shared" si="9"/>
        <v>14</v>
      </c>
      <c r="J57" s="2" t="b">
        <f t="shared" si="10"/>
        <v>1</v>
      </c>
      <c r="K57" s="5" t="str" cm="1">
        <f t="array" ref="K57:AK57">_xlfn.TEXTSPLIT(G57, " ")</f>
        <v>02</v>
      </c>
      <c r="L57" s="5" t="str">
        <v>20</v>
      </c>
      <c r="M57" s="5" t="str">
        <v>e0</v>
      </c>
      <c r="N57" s="5" t="str">
        <v>04</v>
      </c>
      <c r="O57" s="5" t="str">
        <v>00</v>
      </c>
      <c r="P57" s="5" t="str">
        <v>00</v>
      </c>
      <c r="Q57" s="5" t="str">
        <v>00</v>
      </c>
      <c r="R57" s="5" t="str">
        <v>06</v>
      </c>
      <c r="S57" s="5" t="str">
        <v>02</v>
      </c>
      <c r="T57" s="5" t="str">
        <v>20</v>
      </c>
      <c r="U57" s="5" t="str">
        <v>e0</v>
      </c>
      <c r="V57" s="5" t="str">
        <v>04</v>
      </c>
      <c r="W57" s="5" t="str">
        <v>00</v>
      </c>
      <c r="X57" s="5" t="str">
        <v>29</v>
      </c>
      <c r="Y57" s="5" t="str">
        <v>3c</v>
      </c>
      <c r="Z57" s="5" t="str">
        <v>80</v>
      </c>
      <c r="AA57" s="8" t="str">
        <v>a5</v>
      </c>
      <c r="AB57" s="5" t="str">
        <v>0d</v>
      </c>
      <c r="AC57" s="5" t="str">
        <v>00</v>
      </c>
      <c r="AD57" s="5" t="str">
        <v>0e</v>
      </c>
      <c r="AE57" s="5" t="str">
        <v>e0</v>
      </c>
      <c r="AF57" s="5" t="str">
        <v>00</v>
      </c>
      <c r="AG57" s="5" t="str">
        <v>00</v>
      </c>
      <c r="AH57" s="5" t="str">
        <v>89</v>
      </c>
      <c r="AI57" s="5" t="str">
        <v>00</v>
      </c>
      <c r="AJ57" s="5" t="str">
        <v>00</v>
      </c>
      <c r="AK57" s="5" t="str">
        <v>14</v>
      </c>
    </row>
    <row r="59" spans="1:37" x14ac:dyDescent="0.3">
      <c r="G59" s="5" t="s">
        <v>487</v>
      </c>
      <c r="H59" s="2" t="str" cm="1">
        <f t="array" ref="H59">_xlfn.LET(
  _xlpm.parts, _xlfn.TEXTSPLIT(G59, " "),
  _xlpm.count, COUNTA(_xlpm.parts),
  _xlpm.sum, SUM(--HEX2DEC(INDEX(_xlpm.parts, _xlfn.SEQUENCE(_xlpm.count - 1)))),
  "Dec: " &amp; _xlpm.sum &amp; " | Hex: " &amp; DEC2HEX(_xlpm.sum)
)</f>
        <v>Dec: 1191 | Hex: 4A7</v>
      </c>
      <c r="I59" s="2" t="str">
        <f t="shared" ref="I59" si="11">DEC2HEX(MOD(VALUE(MID(H59, 6, FIND("|", H59)-7)) - 12, 256), 2)</f>
        <v>9B</v>
      </c>
      <c r="J59" s="2" t="b">
        <f t="shared" ref="J59" si="12">I59=AK59</f>
        <v>0</v>
      </c>
      <c r="K59" s="5" t="str" cm="1">
        <f t="array" ref="K59:AK59">_xlfn.TEXTSPLIT(G59, " ")</f>
        <v>02</v>
      </c>
      <c r="L59" s="5" t="str">
        <v>20</v>
      </c>
      <c r="M59" s="5" t="str">
        <v>e0</v>
      </c>
      <c r="N59" s="5" t="str">
        <v>04</v>
      </c>
      <c r="O59" s="5" t="str">
        <v>00</v>
      </c>
      <c r="P59" s="5" t="str">
        <v>00</v>
      </c>
      <c r="Q59" s="5" t="str">
        <v>00</v>
      </c>
      <c r="R59" s="5" t="str">
        <v>06</v>
      </c>
      <c r="S59" s="5" t="str">
        <v>02</v>
      </c>
      <c r="T59" s="5" t="str">
        <v>20</v>
      </c>
      <c r="U59" s="5" t="str">
        <v>e0</v>
      </c>
      <c r="V59" s="5" t="str">
        <v>04</v>
      </c>
      <c r="W59" s="5" t="str">
        <v>00</v>
      </c>
      <c r="X59" s="5" t="str">
        <v>39</v>
      </c>
      <c r="Y59" s="5" t="str">
        <v>2e</v>
      </c>
      <c r="Z59" s="5" t="str">
        <v>80</v>
      </c>
      <c r="AA59" s="5" t="str">
        <v>31</v>
      </c>
      <c r="AB59" s="5" t="str">
        <v>06</v>
      </c>
      <c r="AC59" s="5" t="str">
        <v>00</v>
      </c>
      <c r="AD59" s="5" t="str">
        <v>0e</v>
      </c>
      <c r="AE59" s="5" t="str">
        <v>e0</v>
      </c>
      <c r="AF59" s="5" t="str">
        <v>00</v>
      </c>
      <c r="AG59" s="5" t="str">
        <v>00</v>
      </c>
      <c r="AH59" s="5" t="str">
        <v>89</v>
      </c>
      <c r="AI59" s="5" t="str">
        <v>00</v>
      </c>
      <c r="AJ59" s="5" t="str">
        <v>00</v>
      </c>
      <c r="AK59" s="5" t="str">
        <v>8f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B77F-B70E-F342-8730-AE1D7202544B}">
  <dimension ref="A1:AK22"/>
  <sheetViews>
    <sheetView topLeftCell="B1" zoomScale="86" workbookViewId="0">
      <selection activeCell="G22" sqref="G22"/>
    </sheetView>
  </sheetViews>
  <sheetFormatPr baseColWidth="10" defaultRowHeight="22" customHeight="1" x14ac:dyDescent="0.2"/>
  <cols>
    <col min="1" max="1" width="13.5" bestFit="1" customWidth="1"/>
    <col min="4" max="4" width="17.83203125" bestFit="1" customWidth="1"/>
    <col min="5" max="5" width="18" bestFit="1" customWidth="1"/>
    <col min="6" max="6" width="40.83203125" customWidth="1"/>
    <col min="7" max="7" width="52.6640625" bestFit="1" customWidth="1"/>
    <col min="8" max="8" width="24" bestFit="1" customWidth="1"/>
    <col min="9" max="9" width="13.5" bestFit="1" customWidth="1"/>
    <col min="11" max="26" width="4.1640625" customWidth="1"/>
  </cols>
  <sheetData>
    <row r="1" spans="1:37" ht="22" customHeight="1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1" t="s">
        <v>16</v>
      </c>
      <c r="G1" s="2" t="s">
        <v>4</v>
      </c>
      <c r="H1" s="2" t="s">
        <v>332</v>
      </c>
      <c r="I1" s="2" t="s">
        <v>337</v>
      </c>
      <c r="J1" s="7" t="s">
        <v>338</v>
      </c>
      <c r="K1" s="5">
        <v>0</v>
      </c>
      <c r="L1" s="5">
        <v>1</v>
      </c>
      <c r="M1" s="5">
        <v>2</v>
      </c>
      <c r="N1" s="5">
        <v>3</v>
      </c>
      <c r="O1" s="5">
        <v>4</v>
      </c>
      <c r="P1" s="5">
        <v>5</v>
      </c>
      <c r="Q1" s="5">
        <v>6</v>
      </c>
      <c r="R1" s="5">
        <v>7</v>
      </c>
      <c r="S1" s="5">
        <v>8</v>
      </c>
      <c r="T1" s="5">
        <v>9</v>
      </c>
      <c r="U1" s="5">
        <v>10</v>
      </c>
      <c r="V1" s="5">
        <v>11</v>
      </c>
      <c r="W1" s="5">
        <v>12</v>
      </c>
      <c r="X1" s="8">
        <v>13</v>
      </c>
      <c r="Y1" s="8">
        <v>14</v>
      </c>
      <c r="Z1" s="5">
        <v>15</v>
      </c>
      <c r="AA1" s="8"/>
      <c r="AB1" s="8"/>
      <c r="AC1" s="5"/>
      <c r="AD1" s="5"/>
      <c r="AE1" s="5"/>
      <c r="AF1" s="8"/>
      <c r="AG1" s="5"/>
      <c r="AH1" s="5"/>
      <c r="AI1" s="5"/>
      <c r="AJ1" s="5"/>
      <c r="AK1" s="5"/>
    </row>
    <row r="2" spans="1:37" ht="22" customHeight="1" x14ac:dyDescent="0.3">
      <c r="A2" s="2" t="s">
        <v>113</v>
      </c>
      <c r="B2" s="2" t="s">
        <v>5</v>
      </c>
      <c r="C2" s="2">
        <v>30</v>
      </c>
      <c r="D2" s="2" t="s">
        <v>5</v>
      </c>
      <c r="E2" s="2" t="s">
        <v>5</v>
      </c>
      <c r="F2" s="3" t="s">
        <v>462</v>
      </c>
      <c r="G2" s="2" t="s">
        <v>479</v>
      </c>
      <c r="H2" s="2" t="str" cm="1">
        <f t="array" ref="H2">_xlfn.LET(
  _xlpm.parts, _xlfn.TEXTSPLIT(G2, " "),
  _xlpm.count, COUNTA(_xlpm.parts),
  _xlpm.sum, SUM(--HEX2DEC(INDEX(_xlpm.parts, _xlfn.SEQUENCE(_xlpm.count - 1)))),
  "Dec: " &amp; _xlpm.sum &amp; " | Hex: " &amp; DEC2HEX(_xlpm.sum)
)</f>
        <v>Dec: 792 | Hex: 318</v>
      </c>
      <c r="I2" s="2" t="str">
        <f>DEC2HEX(MOD(VALUE(MID(H2, 6, FIND("|", H2)-7)) - 12, 256), 2)</f>
        <v>0C</v>
      </c>
      <c r="J2" s="2" t="b">
        <f>I2=Z2</f>
        <v>1</v>
      </c>
      <c r="K2" s="5" t="str" cm="1">
        <f t="array" ref="K2:Z2">_xlfn.TEXTSPLIT(G2, " ")</f>
        <v>02</v>
      </c>
      <c r="L2" s="5" t="str">
        <v>20</v>
      </c>
      <c r="M2" s="5" t="str">
        <v>e0</v>
      </c>
      <c r="N2" s="5" t="str">
        <v>04</v>
      </c>
      <c r="O2" s="5" t="str">
        <v>00</v>
      </c>
      <c r="P2" s="5" t="str">
        <v>00</v>
      </c>
      <c r="Q2" s="5" t="str">
        <v>00</v>
      </c>
      <c r="R2" s="5" t="str">
        <v>06</v>
      </c>
      <c r="S2" s="5" t="str">
        <v>02</v>
      </c>
      <c r="T2" s="5" t="str">
        <v>20</v>
      </c>
      <c r="U2" s="5" t="str">
        <v>e0</v>
      </c>
      <c r="V2" s="5" t="str">
        <v>04</v>
      </c>
      <c r="W2" s="5" t="str">
        <v>80</v>
      </c>
      <c r="X2" s="8" t="str">
        <v>53</v>
      </c>
      <c r="Y2" s="8" t="str">
        <v>33</v>
      </c>
      <c r="Z2" s="5" t="str">
        <v>0c</v>
      </c>
    </row>
    <row r="3" spans="1:37" ht="22" customHeight="1" x14ac:dyDescent="0.3">
      <c r="A3" s="2" t="s">
        <v>114</v>
      </c>
      <c r="B3" s="2" t="s">
        <v>5</v>
      </c>
      <c r="C3" s="2">
        <v>30</v>
      </c>
      <c r="D3" s="2" t="s">
        <v>5</v>
      </c>
      <c r="E3" s="2" t="s">
        <v>5</v>
      </c>
      <c r="F3" s="3" t="s">
        <v>116</v>
      </c>
      <c r="G3" s="2" t="s">
        <v>115</v>
      </c>
      <c r="H3" s="2" t="str" cm="1">
        <f t="array" ref="H3">_xlfn.LET(
  _xlpm.parts, _xlfn.TEXTSPLIT(G3, " "),
  _xlpm.count, COUNTA(_xlpm.parts),
  _xlpm.sum, SUM(--HEX2DEC(INDEX(_xlpm.parts, _xlfn.SEQUENCE(_xlpm.count - 1)))),
  "Dec: " &amp; _xlpm.sum &amp; " | Hex: " &amp; DEC2HEX(_xlpm.sum)
)</f>
        <v>Dec: 791 | Hex: 317</v>
      </c>
      <c r="I3" s="2" t="str">
        <f>DEC2HEX(MOD(VALUE(MID(H3, 6, FIND("|", H3)-7)) - 12, 256), 2)</f>
        <v>0B</v>
      </c>
      <c r="J3" s="2" t="b">
        <f>I3=Z3</f>
        <v>1</v>
      </c>
      <c r="K3" s="5" t="str" cm="1">
        <f t="array" ref="K3:Z3">_xlfn.TEXTSPLIT(G3, " ")</f>
        <v>02</v>
      </c>
      <c r="L3" s="5" t="str">
        <v>20</v>
      </c>
      <c r="M3" s="5" t="str">
        <v>e0</v>
      </c>
      <c r="N3" s="5" t="str">
        <v>04</v>
      </c>
      <c r="O3" s="5" t="str">
        <v>00</v>
      </c>
      <c r="P3" s="5" t="str">
        <v>00</v>
      </c>
      <c r="Q3" s="5" t="str">
        <v>00</v>
      </c>
      <c r="R3" s="5" t="str">
        <v>06</v>
      </c>
      <c r="S3" s="5" t="str">
        <v>02</v>
      </c>
      <c r="T3" s="5" t="str">
        <v>20</v>
      </c>
      <c r="U3" s="5" t="str">
        <v>e0</v>
      </c>
      <c r="V3" s="5" t="str">
        <v>04</v>
      </c>
      <c r="W3" s="5" t="str">
        <v>80</v>
      </c>
      <c r="X3" s="8" t="str">
        <v>52</v>
      </c>
      <c r="Y3" s="8" t="str">
        <v>33</v>
      </c>
      <c r="Z3" s="5" t="str">
        <v>0b</v>
      </c>
    </row>
    <row r="4" spans="1:37" ht="22" customHeight="1" x14ac:dyDescent="0.3">
      <c r="A4" s="2" t="s">
        <v>117</v>
      </c>
      <c r="B4" s="2" t="s">
        <v>5</v>
      </c>
      <c r="C4" s="2">
        <v>30</v>
      </c>
      <c r="D4" s="2" t="s">
        <v>5</v>
      </c>
      <c r="E4" s="2" t="s">
        <v>5</v>
      </c>
      <c r="F4" s="3" t="s">
        <v>119</v>
      </c>
      <c r="G4" s="2" t="s">
        <v>120</v>
      </c>
      <c r="H4" s="2" t="str" cm="1">
        <f t="array" ref="H4">_xlfn.LET(
  _xlpm.parts, _xlfn.TEXTSPLIT(G4, " "),
  _xlpm.count, COUNTA(_xlpm.parts),
  _xlpm.sum, SUM(--HEX2DEC(INDEX(_xlpm.parts, _xlfn.SEQUENCE(_xlpm.count - 1)))),
  "Dec: " &amp; _xlpm.sum &amp; " | Hex: " &amp; DEC2HEX(_xlpm.sum)
)</f>
        <v>Dec: 790 | Hex: 316</v>
      </c>
      <c r="I4" s="2" t="str">
        <f>DEC2HEX(MOD(VALUE(MID(H4, 6, FIND("|", H4)-7)) - 12, 256), 2)</f>
        <v>0A</v>
      </c>
      <c r="J4" s="2" t="b">
        <f>I4=Z4</f>
        <v>1</v>
      </c>
      <c r="K4" s="5" t="str" cm="1">
        <f t="array" ref="K4:Z4">_xlfn.TEXTSPLIT(G4, " ")</f>
        <v>02</v>
      </c>
      <c r="L4" s="5" t="str">
        <v>20</v>
      </c>
      <c r="M4" s="5" t="str">
        <v>e0</v>
      </c>
      <c r="N4" s="5" t="str">
        <v>04</v>
      </c>
      <c r="O4" s="5" t="str">
        <v>00</v>
      </c>
      <c r="P4" s="5" t="str">
        <v>00</v>
      </c>
      <c r="Q4" s="5" t="str">
        <v>00</v>
      </c>
      <c r="R4" s="5" t="str">
        <v>06</v>
      </c>
      <c r="S4" s="5" t="str">
        <v>02</v>
      </c>
      <c r="T4" s="5" t="str">
        <v>20</v>
      </c>
      <c r="U4" s="5" t="str">
        <v>e0</v>
      </c>
      <c r="V4" s="5" t="str">
        <v>04</v>
      </c>
      <c r="W4" s="5" t="str">
        <v>80</v>
      </c>
      <c r="X4" s="8" t="str">
        <v>51</v>
      </c>
      <c r="Y4" s="8" t="str">
        <v>33</v>
      </c>
      <c r="Z4" s="5" t="str">
        <v>0a</v>
      </c>
    </row>
    <row r="5" spans="1:37" ht="22" customHeight="1" x14ac:dyDescent="0.3">
      <c r="A5" s="2" t="s">
        <v>118</v>
      </c>
      <c r="B5" s="2" t="s">
        <v>5</v>
      </c>
      <c r="C5" s="2">
        <v>30</v>
      </c>
      <c r="D5" s="2" t="s">
        <v>5</v>
      </c>
      <c r="E5" s="2" t="s">
        <v>5</v>
      </c>
      <c r="F5" s="3" t="s">
        <v>121</v>
      </c>
      <c r="G5" s="2" t="s">
        <v>120</v>
      </c>
      <c r="H5" s="2" t="str" cm="1">
        <f t="array" ref="H5">_xlfn.LET(
  _xlpm.parts, _xlfn.TEXTSPLIT(G5, " "),
  _xlpm.count, COUNTA(_xlpm.parts),
  _xlpm.sum, SUM(--HEX2DEC(INDEX(_xlpm.parts, _xlfn.SEQUENCE(_xlpm.count - 1)))),
  "Dec: " &amp; _xlpm.sum &amp; " | Hex: " &amp; DEC2HEX(_xlpm.sum)
)</f>
        <v>Dec: 790 | Hex: 316</v>
      </c>
      <c r="I5" s="2" t="str">
        <f>DEC2HEX(MOD(VALUE(MID(H5, 6, FIND("|", H5)-7)) - 12, 256), 2)</f>
        <v>0A</v>
      </c>
      <c r="J5" s="2" t="b">
        <f>I5=Z5</f>
        <v>1</v>
      </c>
      <c r="K5" s="5" t="str" cm="1">
        <f t="array" ref="K5:Z5">_xlfn.TEXTSPLIT(G5, " ")</f>
        <v>02</v>
      </c>
      <c r="L5" s="5" t="str">
        <v>20</v>
      </c>
      <c r="M5" s="5" t="str">
        <v>e0</v>
      </c>
      <c r="N5" s="5" t="str">
        <v>04</v>
      </c>
      <c r="O5" s="5" t="str">
        <v>00</v>
      </c>
      <c r="P5" s="5" t="str">
        <v>00</v>
      </c>
      <c r="Q5" s="5" t="str">
        <v>00</v>
      </c>
      <c r="R5" s="5" t="str">
        <v>06</v>
      </c>
      <c r="S5" s="5" t="str">
        <v>02</v>
      </c>
      <c r="T5" s="5" t="str">
        <v>20</v>
      </c>
      <c r="U5" s="5" t="str">
        <v>e0</v>
      </c>
      <c r="V5" s="5" t="str">
        <v>04</v>
      </c>
      <c r="W5" s="5" t="str">
        <v>80</v>
      </c>
      <c r="X5" s="8" t="str">
        <v>51</v>
      </c>
      <c r="Y5" s="8" t="str">
        <v>33</v>
      </c>
      <c r="Z5" s="5" t="str">
        <v>0a</v>
      </c>
    </row>
    <row r="6" spans="1:37" ht="22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8"/>
      <c r="Z6" s="5"/>
    </row>
    <row r="7" spans="1:37" ht="22" customHeight="1" x14ac:dyDescent="0.3">
      <c r="A7" s="2" t="s">
        <v>122</v>
      </c>
      <c r="B7" s="2" t="s">
        <v>5</v>
      </c>
      <c r="C7" s="2">
        <v>30</v>
      </c>
      <c r="D7" s="2" t="s">
        <v>5</v>
      </c>
      <c r="E7" s="2" t="s">
        <v>5</v>
      </c>
      <c r="F7" s="3" t="s">
        <v>132</v>
      </c>
      <c r="G7" s="2" t="s">
        <v>133</v>
      </c>
      <c r="H7" s="2" t="str" cm="1">
        <f t="array" ref="H7">_xlfn.LET(
  _xlpm.parts, _xlfn.TEXTSPLIT(G7, " "),
  _xlpm.count, COUNTA(_xlpm.parts),
  _xlpm.sum, SUM(--HEX2DEC(INDEX(_xlpm.parts, _xlfn.SEQUENCE(_xlpm.count - 1)))),
  "Dec: " &amp; _xlpm.sum &amp; " | Hex: " &amp; DEC2HEX(_xlpm.sum)
)</f>
        <v>Dec: 705 | Hex: 2C1</v>
      </c>
      <c r="I7" s="2" t="str">
        <f t="shared" ref="I7:I16" si="0">DEC2HEX(MOD(VALUE(MID(H7, 6, FIND("|", H7)-7)) - 12, 256), 2)</f>
        <v>B5</v>
      </c>
      <c r="J7" s="2" t="b">
        <f t="shared" ref="J7:J16" si="1">I7=Z7</f>
        <v>1</v>
      </c>
      <c r="K7" s="5" t="str" cm="1">
        <f t="array" ref="K7:Z7">_xlfn.TEXTSPLIT(G7, " ")</f>
        <v>02</v>
      </c>
      <c r="L7" s="5" t="str">
        <v>20</v>
      </c>
      <c r="M7" s="5" t="str">
        <v>e0</v>
      </c>
      <c r="N7" s="5" t="str">
        <v>04</v>
      </c>
      <c r="O7" s="5" t="str">
        <v>00</v>
      </c>
      <c r="P7" s="5" t="str">
        <v>00</v>
      </c>
      <c r="Q7" s="5" t="str">
        <v>00</v>
      </c>
      <c r="R7" s="5" t="str">
        <v>06</v>
      </c>
      <c r="S7" s="5" t="str">
        <v>02</v>
      </c>
      <c r="T7" s="5" t="str">
        <v>20</v>
      </c>
      <c r="U7" s="5" t="str">
        <v>e0</v>
      </c>
      <c r="V7" s="5" t="str">
        <v>04</v>
      </c>
      <c r="W7" s="5" t="str">
        <v>80</v>
      </c>
      <c r="X7" s="8" t="str">
        <v>1f</v>
      </c>
      <c r="Y7" s="8" t="str">
        <v>10</v>
      </c>
      <c r="Z7" s="5" t="str">
        <v>b5</v>
      </c>
    </row>
    <row r="8" spans="1:37" ht="22" customHeight="1" x14ac:dyDescent="0.3">
      <c r="A8" s="2" t="s">
        <v>123</v>
      </c>
      <c r="B8" s="2" t="s">
        <v>5</v>
      </c>
      <c r="C8" s="2">
        <v>30</v>
      </c>
      <c r="D8" s="2" t="s">
        <v>5</v>
      </c>
      <c r="E8" s="2" t="s">
        <v>5</v>
      </c>
      <c r="F8" s="3" t="s">
        <v>134</v>
      </c>
      <c r="G8" s="2" t="s">
        <v>135</v>
      </c>
      <c r="H8" s="2" t="str" cm="1">
        <f t="array" ref="H8">_xlfn.LET(
  _xlpm.parts, _xlfn.TEXTSPLIT(G8, " "),
  _xlpm.count, COUNTA(_xlpm.parts),
  _xlpm.sum, SUM(--HEX2DEC(INDEX(_xlpm.parts, _xlfn.SEQUENCE(_xlpm.count - 1)))),
  "Dec: " &amp; _xlpm.sum &amp; " | Hex: " &amp; DEC2HEX(_xlpm.sum)
)</f>
        <v>Dec: 704 | Hex: 2C0</v>
      </c>
      <c r="I8" s="2" t="str">
        <f t="shared" si="0"/>
        <v>B4</v>
      </c>
      <c r="J8" s="2" t="b">
        <f t="shared" si="1"/>
        <v>1</v>
      </c>
      <c r="K8" s="5" t="str" cm="1">
        <f t="array" ref="K8:Z8">_xlfn.TEXTSPLIT(G8, " ")</f>
        <v>02</v>
      </c>
      <c r="L8" s="5" t="str">
        <v>20</v>
      </c>
      <c r="M8" s="5" t="str">
        <v>e0</v>
      </c>
      <c r="N8" s="5" t="str">
        <v>04</v>
      </c>
      <c r="O8" s="5" t="str">
        <v>00</v>
      </c>
      <c r="P8" s="5" t="str">
        <v>00</v>
      </c>
      <c r="Q8" s="5" t="str">
        <v>00</v>
      </c>
      <c r="R8" s="5" t="str">
        <v>06</v>
      </c>
      <c r="S8" s="5" t="str">
        <v>02</v>
      </c>
      <c r="T8" s="5" t="str">
        <v>20</v>
      </c>
      <c r="U8" s="5" t="str">
        <v>e0</v>
      </c>
      <c r="V8" s="5" t="str">
        <v>04</v>
      </c>
      <c r="W8" s="5" t="str">
        <v>80</v>
      </c>
      <c r="X8" s="8" t="str">
        <v>1e</v>
      </c>
      <c r="Y8" s="8" t="str">
        <v>10</v>
      </c>
      <c r="Z8" s="5" t="str">
        <v>b4</v>
      </c>
    </row>
    <row r="9" spans="1:37" ht="22" customHeight="1" x14ac:dyDescent="0.3">
      <c r="A9" s="2" t="s">
        <v>124</v>
      </c>
      <c r="B9" s="2" t="s">
        <v>5</v>
      </c>
      <c r="C9" s="2">
        <v>30</v>
      </c>
      <c r="D9" s="2" t="s">
        <v>5</v>
      </c>
      <c r="E9" s="2" t="s">
        <v>5</v>
      </c>
      <c r="F9" s="3" t="s">
        <v>136</v>
      </c>
      <c r="G9" s="2" t="s">
        <v>137</v>
      </c>
      <c r="H9" s="2" t="str" cm="1">
        <f t="array" ref="H9">_xlfn.LET(
  _xlpm.parts, _xlfn.TEXTSPLIT(G9, " "),
  _xlpm.count, COUNTA(_xlpm.parts),
  _xlpm.sum, SUM(--HEX2DEC(INDEX(_xlpm.parts, _xlfn.SEQUENCE(_xlpm.count - 1)))),
  "Dec: " &amp; _xlpm.sum &amp; " | Hex: " &amp; DEC2HEX(_xlpm.sum)
)</f>
        <v>Dec: 702 | Hex: 2BE</v>
      </c>
      <c r="I9" s="2" t="str">
        <f t="shared" si="0"/>
        <v>B2</v>
      </c>
      <c r="J9" s="2" t="b">
        <f t="shared" si="1"/>
        <v>1</v>
      </c>
      <c r="K9" s="5" t="str" cm="1">
        <f t="array" ref="K9:Z9">_xlfn.TEXTSPLIT(G9, " ")</f>
        <v>02</v>
      </c>
      <c r="L9" s="5" t="str">
        <v>20</v>
      </c>
      <c r="M9" s="5" t="str">
        <v>e0</v>
      </c>
      <c r="N9" s="5" t="str">
        <v>04</v>
      </c>
      <c r="O9" s="5" t="str">
        <v>00</v>
      </c>
      <c r="P9" s="5" t="str">
        <v>00</v>
      </c>
      <c r="Q9" s="5" t="str">
        <v>00</v>
      </c>
      <c r="R9" s="5" t="str">
        <v>06</v>
      </c>
      <c r="S9" s="5" t="str">
        <v>02</v>
      </c>
      <c r="T9" s="5" t="str">
        <v>20</v>
      </c>
      <c r="U9" s="5" t="str">
        <v>e0</v>
      </c>
      <c r="V9" s="5" t="str">
        <v>04</v>
      </c>
      <c r="W9" s="5" t="str">
        <v>80</v>
      </c>
      <c r="X9" s="8" t="str">
        <v>1c</v>
      </c>
      <c r="Y9" s="8" t="str">
        <v>10</v>
      </c>
      <c r="Z9" s="5" t="str">
        <v>b2</v>
      </c>
    </row>
    <row r="10" spans="1:37" ht="22" customHeight="1" x14ac:dyDescent="0.3">
      <c r="A10" s="2" t="s">
        <v>125</v>
      </c>
      <c r="B10" s="2" t="s">
        <v>5</v>
      </c>
      <c r="C10" s="2">
        <v>30</v>
      </c>
      <c r="D10" s="2" t="s">
        <v>5</v>
      </c>
      <c r="E10" s="2" t="s">
        <v>5</v>
      </c>
      <c r="F10" s="3" t="s">
        <v>138</v>
      </c>
      <c r="G10" s="2" t="s">
        <v>139</v>
      </c>
      <c r="H10" s="2" t="str" cm="1">
        <f t="array" ref="H10">_xlfn.LET(
  _xlpm.parts, _xlfn.TEXTSPLIT(G10, " "),
  _xlpm.count, COUNTA(_xlpm.parts),
  _xlpm.sum, SUM(--HEX2DEC(INDEX(_xlpm.parts, _xlfn.SEQUENCE(_xlpm.count - 1)))),
  "Dec: " &amp; _xlpm.sum &amp; " | Hex: " &amp; DEC2HEX(_xlpm.sum)
)</f>
        <v>Dec: 700 | Hex: 2BC</v>
      </c>
      <c r="I10" s="2" t="str">
        <f t="shared" si="0"/>
        <v>B0</v>
      </c>
      <c r="J10" s="2" t="b">
        <f t="shared" si="1"/>
        <v>1</v>
      </c>
      <c r="K10" s="5" t="str" cm="1">
        <f t="array" ref="K10:Z10">_xlfn.TEXTSPLIT(G10, " ")</f>
        <v>02</v>
      </c>
      <c r="L10" s="5" t="str">
        <v>20</v>
      </c>
      <c r="M10" s="5" t="str">
        <v>e0</v>
      </c>
      <c r="N10" s="5" t="str">
        <v>04</v>
      </c>
      <c r="O10" s="5" t="str">
        <v>00</v>
      </c>
      <c r="P10" s="5" t="str">
        <v>00</v>
      </c>
      <c r="Q10" s="5" t="str">
        <v>00</v>
      </c>
      <c r="R10" s="5" t="str">
        <v>06</v>
      </c>
      <c r="S10" s="5" t="str">
        <v>02</v>
      </c>
      <c r="T10" s="5" t="str">
        <v>20</v>
      </c>
      <c r="U10" s="5" t="str">
        <v>e0</v>
      </c>
      <c r="V10" s="5" t="str">
        <v>04</v>
      </c>
      <c r="W10" s="5" t="str">
        <v>80</v>
      </c>
      <c r="X10" s="8" t="str">
        <v>1a</v>
      </c>
      <c r="Y10" s="8" t="str">
        <v>10</v>
      </c>
      <c r="Z10" s="5" t="str">
        <v>b0</v>
      </c>
    </row>
    <row r="11" spans="1:37" ht="22" customHeight="1" x14ac:dyDescent="0.3">
      <c r="A11" s="2" t="s">
        <v>126</v>
      </c>
      <c r="B11" s="2" t="s">
        <v>5</v>
      </c>
      <c r="C11" s="2">
        <v>30</v>
      </c>
      <c r="D11" s="2" t="s">
        <v>5</v>
      </c>
      <c r="E11" s="2" t="s">
        <v>5</v>
      </c>
      <c r="F11" s="3" t="s">
        <v>140</v>
      </c>
      <c r="G11" s="2" t="s">
        <v>141</v>
      </c>
      <c r="H11" s="2" t="str" cm="1">
        <f t="array" ref="H11">_xlfn.LET(
  _xlpm.parts, _xlfn.TEXTSPLIT(G11, " "),
  _xlpm.count, COUNTA(_xlpm.parts),
  _xlpm.sum, SUM(--HEX2DEC(INDEX(_xlpm.parts, _xlfn.SEQUENCE(_xlpm.count - 1)))),
  "Dec: " &amp; _xlpm.sum &amp; " | Hex: " &amp; DEC2HEX(_xlpm.sum)
)</f>
        <v>Dec: 698 | Hex: 2BA</v>
      </c>
      <c r="I11" s="2" t="str">
        <f t="shared" si="0"/>
        <v>AE</v>
      </c>
      <c r="J11" s="2" t="b">
        <f t="shared" si="1"/>
        <v>1</v>
      </c>
      <c r="K11" s="5" t="str" cm="1">
        <f t="array" ref="K11:Z11">_xlfn.TEXTSPLIT(G11, " ")</f>
        <v>02</v>
      </c>
      <c r="L11" s="5" t="str">
        <v>20</v>
      </c>
      <c r="M11" s="5" t="str">
        <v>e0</v>
      </c>
      <c r="N11" s="5" t="str">
        <v>04</v>
      </c>
      <c r="O11" s="5" t="str">
        <v>00</v>
      </c>
      <c r="P11" s="5" t="str">
        <v>00</v>
      </c>
      <c r="Q11" s="5" t="str">
        <v>00</v>
      </c>
      <c r="R11" s="5" t="str">
        <v>06</v>
      </c>
      <c r="S11" s="5" t="str">
        <v>02</v>
      </c>
      <c r="T11" s="5" t="str">
        <v>20</v>
      </c>
      <c r="U11" s="5" t="str">
        <v>e0</v>
      </c>
      <c r="V11" s="5" t="str">
        <v>04</v>
      </c>
      <c r="W11" s="5" t="str">
        <v>80</v>
      </c>
      <c r="X11" s="8" t="str">
        <v>18</v>
      </c>
      <c r="Y11" s="8" t="str">
        <v>10</v>
      </c>
      <c r="Z11" s="5" t="str">
        <v>ae</v>
      </c>
    </row>
    <row r="12" spans="1:37" ht="22" customHeight="1" x14ac:dyDescent="0.3">
      <c r="A12" s="2" t="s">
        <v>127</v>
      </c>
      <c r="B12" s="2" t="s">
        <v>5</v>
      </c>
      <c r="C12" s="2">
        <v>30</v>
      </c>
      <c r="D12" s="2" t="s">
        <v>5</v>
      </c>
      <c r="E12" s="2" t="s">
        <v>5</v>
      </c>
      <c r="F12" s="3" t="s">
        <v>142</v>
      </c>
      <c r="G12" s="2" t="s">
        <v>143</v>
      </c>
      <c r="H12" s="2" t="str" cm="1">
        <f t="array" ref="H12">_xlfn.LET(
  _xlpm.parts, _xlfn.TEXTSPLIT(G12, " "),
  _xlpm.count, COUNTA(_xlpm.parts),
  _xlpm.sum, SUM(--HEX2DEC(INDEX(_xlpm.parts, _xlfn.SEQUENCE(_xlpm.count - 1)))),
  "Dec: " &amp; _xlpm.sum &amp; " | Hex: " &amp; DEC2HEX(_xlpm.sum)
)</f>
        <v>Dec: 696 | Hex: 2B8</v>
      </c>
      <c r="I12" s="2" t="str">
        <f t="shared" si="0"/>
        <v>AC</v>
      </c>
      <c r="J12" s="2" t="b">
        <f t="shared" si="1"/>
        <v>1</v>
      </c>
      <c r="K12" s="5" t="str" cm="1">
        <f t="array" ref="K12:Z12">_xlfn.TEXTSPLIT(G12, " ")</f>
        <v>02</v>
      </c>
      <c r="L12" s="5" t="str">
        <v>20</v>
      </c>
      <c r="M12" s="5" t="str">
        <v>e0</v>
      </c>
      <c r="N12" s="5" t="str">
        <v>04</v>
      </c>
      <c r="O12" s="5" t="str">
        <v>00</v>
      </c>
      <c r="P12" s="5" t="str">
        <v>00</v>
      </c>
      <c r="Q12" s="5" t="str">
        <v>00</v>
      </c>
      <c r="R12" s="5" t="str">
        <v>06</v>
      </c>
      <c r="S12" s="5" t="str">
        <v>02</v>
      </c>
      <c r="T12" s="5" t="str">
        <v>20</v>
      </c>
      <c r="U12" s="5" t="str">
        <v>e0</v>
      </c>
      <c r="V12" s="5" t="str">
        <v>04</v>
      </c>
      <c r="W12" s="5" t="str">
        <v>80</v>
      </c>
      <c r="X12" s="8" t="str">
        <v>16</v>
      </c>
      <c r="Y12" s="8" t="str">
        <v>10</v>
      </c>
      <c r="Z12" s="5" t="str">
        <v>ac</v>
      </c>
    </row>
    <row r="13" spans="1:37" ht="22" customHeight="1" x14ac:dyDescent="0.3">
      <c r="A13" s="2" t="s">
        <v>128</v>
      </c>
      <c r="B13" s="2" t="s">
        <v>5</v>
      </c>
      <c r="C13" s="2">
        <v>30</v>
      </c>
      <c r="D13" s="2" t="s">
        <v>5</v>
      </c>
      <c r="E13" s="2" t="s">
        <v>5</v>
      </c>
      <c r="F13" s="3" t="s">
        <v>144</v>
      </c>
      <c r="G13" s="2" t="s">
        <v>145</v>
      </c>
      <c r="H13" s="2" t="str" cm="1">
        <f t="array" ref="H13">_xlfn.LET(
  _xlpm.parts, _xlfn.TEXTSPLIT(G13, " "),
  _xlpm.count, COUNTA(_xlpm.parts),
  _xlpm.sum, SUM(--HEX2DEC(INDEX(_xlpm.parts, _xlfn.SEQUENCE(_xlpm.count - 1)))),
  "Dec: " &amp; _xlpm.sum &amp; " | Hex: " &amp; DEC2HEX(_xlpm.sum)
)</f>
        <v>Dec: 694 | Hex: 2B6</v>
      </c>
      <c r="I13" s="2" t="str">
        <f t="shared" si="0"/>
        <v>AA</v>
      </c>
      <c r="J13" s="2" t="b">
        <f t="shared" si="1"/>
        <v>1</v>
      </c>
      <c r="K13" s="5" t="str" cm="1">
        <f t="array" ref="K13:Z13">_xlfn.TEXTSPLIT(G13, " ")</f>
        <v>02</v>
      </c>
      <c r="L13" s="5" t="str">
        <v>20</v>
      </c>
      <c r="M13" s="5" t="str">
        <v>e0</v>
      </c>
      <c r="N13" s="5" t="str">
        <v>04</v>
      </c>
      <c r="O13" s="5" t="str">
        <v>00</v>
      </c>
      <c r="P13" s="5" t="str">
        <v>00</v>
      </c>
      <c r="Q13" s="5" t="str">
        <v>00</v>
      </c>
      <c r="R13" s="5" t="str">
        <v>06</v>
      </c>
      <c r="S13" s="5" t="str">
        <v>02</v>
      </c>
      <c r="T13" s="5" t="str">
        <v>20</v>
      </c>
      <c r="U13" s="5" t="str">
        <v>e0</v>
      </c>
      <c r="V13" s="5" t="str">
        <v>04</v>
      </c>
      <c r="W13" s="5" t="str">
        <v>80</v>
      </c>
      <c r="X13" s="8" t="str">
        <v>14</v>
      </c>
      <c r="Y13" s="8" t="str">
        <v>10</v>
      </c>
      <c r="Z13" s="5" t="str">
        <v>aa</v>
      </c>
    </row>
    <row r="14" spans="1:37" ht="22" customHeight="1" x14ac:dyDescent="0.3">
      <c r="A14" s="2" t="s">
        <v>129</v>
      </c>
      <c r="B14" s="2" t="s">
        <v>5</v>
      </c>
      <c r="C14" s="2">
        <v>30</v>
      </c>
      <c r="D14" s="2" t="s">
        <v>5</v>
      </c>
      <c r="E14" s="2" t="s">
        <v>5</v>
      </c>
      <c r="F14" s="3" t="s">
        <v>146</v>
      </c>
      <c r="G14" s="2" t="s">
        <v>147</v>
      </c>
      <c r="H14" s="2" t="str" cm="1">
        <f t="array" ref="H14">_xlfn.LET(
  _xlpm.parts, _xlfn.TEXTSPLIT(G14, " "),
  _xlpm.count, COUNTA(_xlpm.parts),
  _xlpm.sum, SUM(--HEX2DEC(INDEX(_xlpm.parts, _xlfn.SEQUENCE(_xlpm.count - 1)))),
  "Dec: " &amp; _xlpm.sum &amp; " | Hex: " &amp; DEC2HEX(_xlpm.sum)
)</f>
        <v>Dec: 692 | Hex: 2B4</v>
      </c>
      <c r="I14" s="2" t="str">
        <f t="shared" si="0"/>
        <v>A8</v>
      </c>
      <c r="J14" s="2" t="b">
        <f t="shared" si="1"/>
        <v>1</v>
      </c>
      <c r="K14" s="5" t="str" cm="1">
        <f t="array" ref="K14:Z14">_xlfn.TEXTSPLIT(G14, " ")</f>
        <v>02</v>
      </c>
      <c r="L14" s="5" t="str">
        <v>20</v>
      </c>
      <c r="M14" s="5" t="str">
        <v>e0</v>
      </c>
      <c r="N14" s="5" t="str">
        <v>04</v>
      </c>
      <c r="O14" s="5" t="str">
        <v>00</v>
      </c>
      <c r="P14" s="5" t="str">
        <v>00</v>
      </c>
      <c r="Q14" s="5" t="str">
        <v>00</v>
      </c>
      <c r="R14" s="5" t="str">
        <v>06</v>
      </c>
      <c r="S14" s="5" t="str">
        <v>02</v>
      </c>
      <c r="T14" s="5" t="str">
        <v>20</v>
      </c>
      <c r="U14" s="5" t="str">
        <v>e0</v>
      </c>
      <c r="V14" s="5" t="str">
        <v>04</v>
      </c>
      <c r="W14" s="5" t="str">
        <v>80</v>
      </c>
      <c r="X14" s="8" t="str">
        <v>12</v>
      </c>
      <c r="Y14" s="8" t="str">
        <v>10</v>
      </c>
      <c r="Z14" s="5" t="str">
        <v>a8</v>
      </c>
    </row>
    <row r="15" spans="1:37" ht="22" customHeight="1" x14ac:dyDescent="0.3">
      <c r="A15" s="2" t="s">
        <v>130</v>
      </c>
      <c r="B15" s="2" t="s">
        <v>5</v>
      </c>
      <c r="C15" s="2">
        <v>30</v>
      </c>
      <c r="D15" s="2" t="s">
        <v>5</v>
      </c>
      <c r="E15" s="2" t="s">
        <v>5</v>
      </c>
      <c r="F15" s="3" t="s">
        <v>148</v>
      </c>
      <c r="G15" s="2" t="s">
        <v>149</v>
      </c>
      <c r="H15" s="2" t="str" cm="1">
        <f t="array" ref="H15">_xlfn.LET(
  _xlpm.parts, _xlfn.TEXTSPLIT(G15, " "),
  _xlpm.count, COUNTA(_xlpm.parts),
  _xlpm.sum, SUM(--HEX2DEC(INDEX(_xlpm.parts, _xlfn.SEQUENCE(_xlpm.count - 1)))),
  "Dec: " &amp; _xlpm.sum &amp; " | Hex: " &amp; DEC2HEX(_xlpm.sum)
)</f>
        <v>Dec: 690 | Hex: 2B2</v>
      </c>
      <c r="I15" s="2" t="str">
        <f t="shared" si="0"/>
        <v>A6</v>
      </c>
      <c r="J15" s="2" t="b">
        <f t="shared" si="1"/>
        <v>1</v>
      </c>
      <c r="K15" s="5" t="str" cm="1">
        <f t="array" ref="K15:Z15">_xlfn.TEXTSPLIT(G15, " ")</f>
        <v>02</v>
      </c>
      <c r="L15" s="5" t="str">
        <v>20</v>
      </c>
      <c r="M15" s="5" t="str">
        <v>e0</v>
      </c>
      <c r="N15" s="5" t="str">
        <v>04</v>
      </c>
      <c r="O15" s="5" t="str">
        <v>00</v>
      </c>
      <c r="P15" s="5" t="str">
        <v>00</v>
      </c>
      <c r="Q15" s="5" t="str">
        <v>00</v>
      </c>
      <c r="R15" s="5" t="str">
        <v>06</v>
      </c>
      <c r="S15" s="5" t="str">
        <v>02</v>
      </c>
      <c r="T15" s="5" t="str">
        <v>20</v>
      </c>
      <c r="U15" s="5" t="str">
        <v>e0</v>
      </c>
      <c r="V15" s="5" t="str">
        <v>04</v>
      </c>
      <c r="W15" s="5" t="str">
        <v>80</v>
      </c>
      <c r="X15" s="8" t="str">
        <v>10</v>
      </c>
      <c r="Y15" s="8" t="str">
        <v>10</v>
      </c>
      <c r="Z15" s="5" t="str">
        <v>a6</v>
      </c>
    </row>
    <row r="16" spans="1:37" ht="22" customHeight="1" x14ac:dyDescent="0.3">
      <c r="A16" s="2" t="s">
        <v>131</v>
      </c>
      <c r="B16" s="2" t="s">
        <v>5</v>
      </c>
      <c r="C16" s="2">
        <v>30</v>
      </c>
      <c r="D16" s="2" t="s">
        <v>5</v>
      </c>
      <c r="E16" s="2" t="s">
        <v>5</v>
      </c>
      <c r="F16" s="3" t="s">
        <v>150</v>
      </c>
      <c r="G16" s="2" t="s">
        <v>151</v>
      </c>
      <c r="H16" s="2" t="str" cm="1">
        <f t="array" ref="H16">_xlfn.LET(
  _xlpm.parts, _xlfn.TEXTSPLIT(G16, " "),
  _xlpm.count, COUNTA(_xlpm.parts),
  _xlpm.sum, SUM(--HEX2DEC(INDEX(_xlpm.parts, _xlfn.SEQUENCE(_xlpm.count - 1)))),
  "Dec: " &amp; _xlpm.sum &amp; " | Hex: " &amp; DEC2HEX(_xlpm.sum)
)</f>
        <v>Dec: 688 | Hex: 2B0</v>
      </c>
      <c r="I16" s="2" t="str">
        <f t="shared" si="0"/>
        <v>A4</v>
      </c>
      <c r="J16" s="2" t="b">
        <f t="shared" si="1"/>
        <v>1</v>
      </c>
      <c r="K16" s="5" t="str" cm="1">
        <f t="array" ref="K16:Z16">_xlfn.TEXTSPLIT(G16, " ")</f>
        <v>02</v>
      </c>
      <c r="L16" s="5" t="str">
        <v>20</v>
      </c>
      <c r="M16" s="5" t="str">
        <v>e0</v>
      </c>
      <c r="N16" s="5" t="str">
        <v>04</v>
      </c>
      <c r="O16" s="5" t="str">
        <v>00</v>
      </c>
      <c r="P16" s="5" t="str">
        <v>00</v>
      </c>
      <c r="Q16" s="5" t="str">
        <v>00</v>
      </c>
      <c r="R16" s="5" t="str">
        <v>06</v>
      </c>
      <c r="S16" s="5" t="str">
        <v>02</v>
      </c>
      <c r="T16" s="5" t="str">
        <v>20</v>
      </c>
      <c r="U16" s="5" t="str">
        <v>e0</v>
      </c>
      <c r="V16" s="5" t="str">
        <v>04</v>
      </c>
      <c r="W16" s="5" t="str">
        <v>80</v>
      </c>
      <c r="X16" s="8" t="str">
        <v>0e</v>
      </c>
      <c r="Y16" s="8" t="str">
        <v>10</v>
      </c>
      <c r="Z16" s="5" t="str">
        <v>a4</v>
      </c>
    </row>
    <row r="18" spans="1:26" ht="22" customHeight="1" x14ac:dyDescent="0.3">
      <c r="A18" s="2" t="s">
        <v>113</v>
      </c>
      <c r="B18" s="2" t="s">
        <v>5</v>
      </c>
      <c r="C18" s="2">
        <v>16</v>
      </c>
      <c r="D18" s="2" t="s">
        <v>5</v>
      </c>
      <c r="E18" s="2" t="s">
        <v>5</v>
      </c>
      <c r="F18" s="6" t="s">
        <v>481</v>
      </c>
      <c r="G18" s="2" t="s">
        <v>112</v>
      </c>
      <c r="H18" s="2" t="str" cm="1">
        <f t="array" ref="H18">_xlfn.LET(
  _xlpm.parts, _xlfn.TEXTSPLIT(G18, " "),
  _xlpm.count, COUNTA(_xlpm.parts),
  _xlpm.sum, SUM(--HEX2DEC(INDEX(_xlpm.parts, _xlfn.SEQUENCE(_xlpm.count - 1)))),
  "Dec: " &amp; _xlpm.sum &amp; " | Hex: " &amp; DEC2HEX(_xlpm.sum)
)</f>
        <v>Dec: 1004 | Hex: 3EC</v>
      </c>
      <c r="I18" s="2" t="str">
        <f t="shared" ref="I18" si="2">DEC2HEX(MOD(VALUE(MID(H18, 6, FIND("|", H18)-7)) - 12, 256), 2)</f>
        <v>E0</v>
      </c>
      <c r="J18" s="2" t="b">
        <f t="shared" ref="J18" si="3">I18=Z18</f>
        <v>1</v>
      </c>
      <c r="K18" s="5" t="str" cm="1">
        <f t="array" ref="K18:Z18">_xlfn.TEXTSPLIT(G18, " ")</f>
        <v>02</v>
      </c>
      <c r="L18" s="5" t="str">
        <v>20</v>
      </c>
      <c r="M18" s="5" t="str">
        <v>e0</v>
      </c>
      <c r="N18" s="5" t="str">
        <v>04</v>
      </c>
      <c r="O18" s="5" t="str">
        <v>00</v>
      </c>
      <c r="P18" s="5" t="str">
        <v>00</v>
      </c>
      <c r="Q18" s="5" t="str">
        <v>00</v>
      </c>
      <c r="R18" s="5" t="str">
        <v>06</v>
      </c>
      <c r="S18" s="5" t="str">
        <v>02</v>
      </c>
      <c r="T18" s="5" t="str">
        <v>20</v>
      </c>
      <c r="U18" s="5" t="str">
        <v>e0</v>
      </c>
      <c r="V18" s="5" t="str">
        <v>04</v>
      </c>
      <c r="W18" s="5" t="str">
        <v>80</v>
      </c>
      <c r="X18" s="8" t="str">
        <v>68</v>
      </c>
      <c r="Y18" s="8" t="str">
        <v>f2</v>
      </c>
      <c r="Z18" s="5" t="str">
        <v>e0</v>
      </c>
    </row>
    <row r="19" spans="1:26" ht="22" customHeight="1" x14ac:dyDescent="0.3">
      <c r="A19" s="2" t="s">
        <v>114</v>
      </c>
      <c r="B19" s="2" t="s">
        <v>5</v>
      </c>
      <c r="C19" s="2">
        <v>16</v>
      </c>
      <c r="D19" s="2" t="s">
        <v>5</v>
      </c>
      <c r="E19" s="2" t="s">
        <v>5</v>
      </c>
      <c r="F19" s="6" t="s">
        <v>482</v>
      </c>
      <c r="G19" s="2" t="s">
        <v>115</v>
      </c>
      <c r="H19" s="2" t="str" cm="1">
        <f t="array" ref="H19">_xlfn.LET(
  _xlpm.parts, _xlfn.TEXTSPLIT(G19, " "),
  _xlpm.count, COUNTA(_xlpm.parts),
  _xlpm.sum, SUM(--HEX2DEC(INDEX(_xlpm.parts, _xlfn.SEQUENCE(_xlpm.count - 1)))),
  "Dec: " &amp; _xlpm.sum &amp; " | Hex: " &amp; DEC2HEX(_xlpm.sum)
)</f>
        <v>Dec: 791 | Hex: 317</v>
      </c>
      <c r="I19" s="2" t="str">
        <f t="shared" ref="I19" si="4">DEC2HEX(MOD(VALUE(MID(H19, 6, FIND("|", H19)-7)) - 12, 256), 2)</f>
        <v>0B</v>
      </c>
      <c r="J19" s="2" t="b">
        <f t="shared" ref="J19" si="5">I19=Z19</f>
        <v>1</v>
      </c>
      <c r="K19" s="5" t="str" cm="1">
        <f t="array" ref="K19:Z19">_xlfn.TEXTSPLIT(G19, " ")</f>
        <v>02</v>
      </c>
      <c r="L19" s="5" t="str">
        <v>20</v>
      </c>
      <c r="M19" s="5" t="str">
        <v>e0</v>
      </c>
      <c r="N19" s="5" t="str">
        <v>04</v>
      </c>
      <c r="O19" s="5" t="str">
        <v>00</v>
      </c>
      <c r="P19" s="5" t="str">
        <v>00</v>
      </c>
      <c r="Q19" s="5" t="str">
        <v>00</v>
      </c>
      <c r="R19" s="5" t="str">
        <v>06</v>
      </c>
      <c r="S19" s="5" t="str">
        <v>02</v>
      </c>
      <c r="T19" s="5" t="str">
        <v>20</v>
      </c>
      <c r="U19" s="5" t="str">
        <v>e0</v>
      </c>
      <c r="V19" s="5" t="str">
        <v>04</v>
      </c>
      <c r="W19" s="5" t="str">
        <v>80</v>
      </c>
      <c r="X19" s="8" t="str">
        <v>52</v>
      </c>
      <c r="Y19" s="8" t="str">
        <v>33</v>
      </c>
      <c r="Z19" s="5" t="str">
        <v>0b</v>
      </c>
    </row>
    <row r="20" spans="1:26" ht="22" customHeight="1" x14ac:dyDescent="0.3">
      <c r="F20" s="6" t="s">
        <v>483</v>
      </c>
      <c r="G20" s="2" t="s">
        <v>112</v>
      </c>
      <c r="H20" s="2" t="str" cm="1">
        <f t="array" ref="H20">_xlfn.LET(
  _xlpm.parts, _xlfn.TEXTSPLIT(G20, " "),
  _xlpm.count, COUNTA(_xlpm.parts),
  _xlpm.sum, SUM(--HEX2DEC(INDEX(_xlpm.parts, _xlfn.SEQUENCE(_xlpm.count - 1)))),
  "Dec: " &amp; _xlpm.sum &amp; " | Hex: " &amp; DEC2HEX(_xlpm.sum)
)</f>
        <v>Dec: 1004 | Hex: 3EC</v>
      </c>
      <c r="I20" s="2" t="str">
        <f t="shared" ref="I20" si="6">DEC2HEX(MOD(VALUE(MID(H20, 6, FIND("|", H20)-7)) - 12, 256), 2)</f>
        <v>E0</v>
      </c>
      <c r="J20" s="2" t="b">
        <f t="shared" ref="J20" si="7">I20=Z20</f>
        <v>1</v>
      </c>
      <c r="K20" s="5" t="str" cm="1">
        <f t="array" ref="K20:Z20">_xlfn.TEXTSPLIT(G20, " ")</f>
        <v>02</v>
      </c>
      <c r="L20" s="5" t="str">
        <v>20</v>
      </c>
      <c r="M20" s="5" t="str">
        <v>e0</v>
      </c>
      <c r="N20" s="5" t="str">
        <v>04</v>
      </c>
      <c r="O20" s="5" t="str">
        <v>00</v>
      </c>
      <c r="P20" s="5" t="str">
        <v>00</v>
      </c>
      <c r="Q20" s="5" t="str">
        <v>00</v>
      </c>
      <c r="R20" s="5" t="str">
        <v>06</v>
      </c>
      <c r="S20" s="5" t="str">
        <v>02</v>
      </c>
      <c r="T20" s="5" t="str">
        <v>20</v>
      </c>
      <c r="U20" s="5" t="str">
        <v>e0</v>
      </c>
      <c r="V20" s="5" t="str">
        <v>04</v>
      </c>
      <c r="W20" s="5" t="str">
        <v>80</v>
      </c>
      <c r="X20" s="8" t="str">
        <v>68</v>
      </c>
      <c r="Y20" s="8" t="str">
        <v>f2</v>
      </c>
      <c r="Z20" s="5" t="str">
        <v>e0</v>
      </c>
    </row>
    <row r="21" spans="1:26" ht="22" customHeight="1" x14ac:dyDescent="0.3">
      <c r="F21" s="6" t="s">
        <v>484</v>
      </c>
      <c r="G21" s="2" t="s">
        <v>120</v>
      </c>
      <c r="H21" s="2" t="str" cm="1">
        <f t="array" ref="H21">_xlfn.LET(
  _xlpm.parts, _xlfn.TEXTSPLIT(G21, " "),
  _xlpm.count, COUNTA(_xlpm.parts),
  _xlpm.sum, SUM(--HEX2DEC(INDEX(_xlpm.parts, _xlfn.SEQUENCE(_xlpm.count - 1)))),
  "Dec: " &amp; _xlpm.sum &amp; " | Hex: " &amp; DEC2HEX(_xlpm.sum)
)</f>
        <v>Dec: 790 | Hex: 316</v>
      </c>
      <c r="I21" s="2" t="str">
        <f t="shared" ref="I21" si="8">DEC2HEX(MOD(VALUE(MID(H21, 6, FIND("|", H21)-7)) - 12, 256), 2)</f>
        <v>0A</v>
      </c>
      <c r="J21" s="2" t="b">
        <f t="shared" ref="J21" si="9">I21=Z21</f>
        <v>1</v>
      </c>
      <c r="K21" s="5" t="str" cm="1">
        <f t="array" ref="K21:Z21">_xlfn.TEXTSPLIT(G21, " ")</f>
        <v>02</v>
      </c>
      <c r="L21" s="5" t="str">
        <v>20</v>
      </c>
      <c r="M21" s="5" t="str">
        <v>e0</v>
      </c>
      <c r="N21" s="5" t="str">
        <v>04</v>
      </c>
      <c r="O21" s="5" t="str">
        <v>00</v>
      </c>
      <c r="P21" s="5" t="str">
        <v>00</v>
      </c>
      <c r="Q21" s="5" t="str">
        <v>00</v>
      </c>
      <c r="R21" s="5" t="str">
        <v>06</v>
      </c>
      <c r="S21" s="5" t="str">
        <v>02</v>
      </c>
      <c r="T21" s="5" t="str">
        <v>20</v>
      </c>
      <c r="U21" s="5" t="str">
        <v>e0</v>
      </c>
      <c r="V21" s="5" t="str">
        <v>04</v>
      </c>
      <c r="W21" s="5" t="str">
        <v>80</v>
      </c>
      <c r="X21" s="8" t="str">
        <v>51</v>
      </c>
      <c r="Y21" s="8" t="str">
        <v>33</v>
      </c>
      <c r="Z21" s="5" t="str">
        <v>0a</v>
      </c>
    </row>
    <row r="22" spans="1:26" ht="22" customHeight="1" x14ac:dyDescent="0.3">
      <c r="G2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9098-A5F3-B240-BDC1-CA667EB7FEA5}">
  <dimension ref="A1:D59"/>
  <sheetViews>
    <sheetView topLeftCell="A8" zoomScale="111" zoomScaleNormal="125" workbookViewId="0">
      <selection activeCell="F16" sqref="F16"/>
    </sheetView>
  </sheetViews>
  <sheetFormatPr baseColWidth="10" defaultRowHeight="22" x14ac:dyDescent="0.3"/>
  <cols>
    <col min="1" max="1" width="10.83203125" style="10"/>
    <col min="2" max="2" width="31.6640625" style="11" bestFit="1" customWidth="1"/>
    <col min="3" max="3" width="15.6640625" style="10" bestFit="1" customWidth="1"/>
    <col min="4" max="4" width="64.5" style="10" bestFit="1" customWidth="1"/>
    <col min="5" max="16384" width="10.83203125" style="10"/>
  </cols>
  <sheetData>
    <row r="1" spans="1:4" x14ac:dyDescent="0.3">
      <c r="A1" s="10" t="s">
        <v>333</v>
      </c>
      <c r="B1" s="10" t="s">
        <v>335</v>
      </c>
      <c r="C1" s="11" t="s">
        <v>334</v>
      </c>
      <c r="D1" s="10" t="s">
        <v>336</v>
      </c>
    </row>
    <row r="2" spans="1:4" x14ac:dyDescent="0.3">
      <c r="A2" s="10">
        <v>0</v>
      </c>
      <c r="B2" s="15" t="s">
        <v>394</v>
      </c>
      <c r="D2" s="10" t="s">
        <v>395</v>
      </c>
    </row>
    <row r="3" spans="1:4" x14ac:dyDescent="0.3">
      <c r="A3" s="10">
        <v>1</v>
      </c>
      <c r="B3" s="15"/>
      <c r="D3" s="10" t="s">
        <v>396</v>
      </c>
    </row>
    <row r="4" spans="1:4" x14ac:dyDescent="0.3">
      <c r="A4" s="10">
        <v>2</v>
      </c>
      <c r="B4" s="15"/>
      <c r="D4" s="10" t="s">
        <v>397</v>
      </c>
    </row>
    <row r="5" spans="1:4" x14ac:dyDescent="0.3">
      <c r="A5" s="10">
        <v>3</v>
      </c>
      <c r="B5" s="15"/>
      <c r="D5" s="10" t="s">
        <v>399</v>
      </c>
    </row>
    <row r="6" spans="1:4" x14ac:dyDescent="0.3">
      <c r="A6" s="10">
        <v>4</v>
      </c>
      <c r="B6" s="15"/>
      <c r="D6" s="10" t="s">
        <v>398</v>
      </c>
    </row>
    <row r="7" spans="1:4" x14ac:dyDescent="0.3">
      <c r="A7" s="10">
        <v>5</v>
      </c>
      <c r="B7" s="15"/>
      <c r="D7" s="10" t="s">
        <v>398</v>
      </c>
    </row>
    <row r="8" spans="1:4" x14ac:dyDescent="0.3">
      <c r="A8" s="10">
        <v>6</v>
      </c>
      <c r="B8" s="15"/>
      <c r="D8" s="10" t="s">
        <v>398</v>
      </c>
    </row>
    <row r="9" spans="1:4" x14ac:dyDescent="0.3">
      <c r="A9" s="10">
        <v>7</v>
      </c>
      <c r="B9" s="15"/>
      <c r="D9" s="10" t="s">
        <v>400</v>
      </c>
    </row>
    <row r="10" spans="1:4" x14ac:dyDescent="0.3">
      <c r="A10" s="10">
        <v>8</v>
      </c>
      <c r="B10" s="15"/>
      <c r="D10" s="10" t="s">
        <v>395</v>
      </c>
    </row>
    <row r="11" spans="1:4" x14ac:dyDescent="0.3">
      <c r="A11" s="10">
        <v>9</v>
      </c>
      <c r="B11" s="15"/>
      <c r="D11" s="10" t="s">
        <v>396</v>
      </c>
    </row>
    <row r="12" spans="1:4" x14ac:dyDescent="0.3">
      <c r="A12" s="10">
        <v>10</v>
      </c>
      <c r="B12" s="15"/>
      <c r="D12" s="10" t="s">
        <v>397</v>
      </c>
    </row>
    <row r="13" spans="1:4" x14ac:dyDescent="0.3">
      <c r="A13" s="10">
        <v>11</v>
      </c>
      <c r="B13" s="15"/>
      <c r="D13" s="10" t="s">
        <v>399</v>
      </c>
    </row>
    <row r="14" spans="1:4" x14ac:dyDescent="0.3">
      <c r="A14" s="10">
        <v>12</v>
      </c>
      <c r="B14" s="15"/>
      <c r="D14" s="10" t="s">
        <v>398</v>
      </c>
    </row>
    <row r="15" spans="1:4" ht="23" customHeight="1" x14ac:dyDescent="0.3">
      <c r="A15" s="10">
        <v>13</v>
      </c>
      <c r="B15" s="12" t="s">
        <v>407</v>
      </c>
      <c r="C15" s="10">
        <v>0</v>
      </c>
      <c r="D15" s="10" t="s">
        <v>428</v>
      </c>
    </row>
    <row r="16" spans="1:4" x14ac:dyDescent="0.3">
      <c r="B16" s="12" t="s">
        <v>403</v>
      </c>
      <c r="C16" s="10" t="s">
        <v>486</v>
      </c>
      <c r="D16" s="10" t="s">
        <v>398</v>
      </c>
    </row>
    <row r="17" spans="1:4" x14ac:dyDescent="0.3">
      <c r="B17" s="12"/>
      <c r="C17" s="10" t="s">
        <v>452</v>
      </c>
      <c r="D17" s="10" t="s">
        <v>485</v>
      </c>
    </row>
    <row r="18" spans="1:4" x14ac:dyDescent="0.3">
      <c r="B18" s="12" t="s">
        <v>409</v>
      </c>
      <c r="C18" s="10" t="s">
        <v>408</v>
      </c>
      <c r="D18" s="10" t="s">
        <v>418</v>
      </c>
    </row>
    <row r="19" spans="1:4" x14ac:dyDescent="0.3">
      <c r="B19" s="12" t="s">
        <v>403</v>
      </c>
      <c r="C19" s="10" t="s">
        <v>411</v>
      </c>
      <c r="D19" s="10" t="s">
        <v>398</v>
      </c>
    </row>
    <row r="20" spans="1:4" x14ac:dyDescent="0.3">
      <c r="A20" s="10">
        <v>14</v>
      </c>
      <c r="B20" s="12" t="s">
        <v>402</v>
      </c>
      <c r="C20" s="10" t="s">
        <v>412</v>
      </c>
      <c r="D20" s="10" t="s">
        <v>413</v>
      </c>
    </row>
    <row r="21" spans="1:4" x14ac:dyDescent="0.3">
      <c r="B21" s="12" t="s">
        <v>403</v>
      </c>
      <c r="C21" s="10" t="s">
        <v>414</v>
      </c>
      <c r="D21" s="10" t="s">
        <v>398</v>
      </c>
    </row>
    <row r="22" spans="1:4" x14ac:dyDescent="0.3">
      <c r="A22" s="10">
        <v>15</v>
      </c>
      <c r="B22" s="12" t="s">
        <v>403</v>
      </c>
      <c r="D22" s="10" t="s">
        <v>440</v>
      </c>
    </row>
    <row r="23" spans="1:4" x14ac:dyDescent="0.3">
      <c r="A23" s="10">
        <v>16</v>
      </c>
      <c r="B23" s="12" t="s">
        <v>415</v>
      </c>
      <c r="C23" s="10" t="s">
        <v>417</v>
      </c>
      <c r="D23" s="10" t="s">
        <v>419</v>
      </c>
    </row>
    <row r="24" spans="1:4" x14ac:dyDescent="0.3">
      <c r="B24" s="12" t="s">
        <v>416</v>
      </c>
      <c r="C24" s="10" t="s">
        <v>410</v>
      </c>
      <c r="D24" s="10" t="s">
        <v>420</v>
      </c>
    </row>
    <row r="25" spans="1:4" x14ac:dyDescent="0.3">
      <c r="A25" s="10">
        <v>17</v>
      </c>
      <c r="B25" s="12" t="s">
        <v>404</v>
      </c>
      <c r="C25" s="10" t="s">
        <v>417</v>
      </c>
      <c r="D25" s="10" t="s">
        <v>422</v>
      </c>
    </row>
    <row r="26" spans="1:4" x14ac:dyDescent="0.3">
      <c r="B26" s="12" t="s">
        <v>403</v>
      </c>
      <c r="C26" s="10" t="s">
        <v>410</v>
      </c>
      <c r="D26" s="10" t="s">
        <v>398</v>
      </c>
    </row>
    <row r="27" spans="1:4" x14ac:dyDescent="0.3">
      <c r="A27" s="10">
        <v>18</v>
      </c>
      <c r="B27" s="15" t="s">
        <v>403</v>
      </c>
      <c r="D27" s="10" t="s">
        <v>398</v>
      </c>
    </row>
    <row r="28" spans="1:4" x14ac:dyDescent="0.3">
      <c r="A28" s="10">
        <v>19</v>
      </c>
      <c r="B28" s="15"/>
      <c r="D28" s="10" t="s">
        <v>398</v>
      </c>
    </row>
    <row r="29" spans="1:4" x14ac:dyDescent="0.3">
      <c r="A29" s="10">
        <v>20</v>
      </c>
      <c r="B29" s="15"/>
      <c r="D29" s="10" t="s">
        <v>398</v>
      </c>
    </row>
    <row r="30" spans="1:4" x14ac:dyDescent="0.3">
      <c r="A30" s="10">
        <v>21</v>
      </c>
      <c r="B30" s="11" t="s">
        <v>426</v>
      </c>
      <c r="C30" s="10" t="s">
        <v>423</v>
      </c>
      <c r="D30" s="10" t="s">
        <v>428</v>
      </c>
    </row>
    <row r="31" spans="1:4" x14ac:dyDescent="0.3">
      <c r="B31" s="11" t="s">
        <v>403</v>
      </c>
      <c r="C31" s="10" t="s">
        <v>424</v>
      </c>
      <c r="D31" s="10" t="s">
        <v>398</v>
      </c>
    </row>
    <row r="32" spans="1:4" x14ac:dyDescent="0.3">
      <c r="B32" s="11" t="s">
        <v>427</v>
      </c>
      <c r="C32" s="10" t="s">
        <v>425</v>
      </c>
      <c r="D32" s="10" t="s">
        <v>428</v>
      </c>
    </row>
    <row r="33" spans="1:4" x14ac:dyDescent="0.3">
      <c r="B33" s="11" t="s">
        <v>403</v>
      </c>
      <c r="C33" s="10" t="s">
        <v>414</v>
      </c>
      <c r="D33" s="10" t="s">
        <v>398</v>
      </c>
    </row>
    <row r="34" spans="1:4" x14ac:dyDescent="0.3">
      <c r="A34" s="10">
        <v>22</v>
      </c>
      <c r="B34" s="15" t="s">
        <v>403</v>
      </c>
      <c r="D34" s="10" t="s">
        <v>398</v>
      </c>
    </row>
    <row r="35" spans="1:4" x14ac:dyDescent="0.3">
      <c r="A35" s="10">
        <v>23</v>
      </c>
      <c r="B35" s="15"/>
      <c r="D35" s="10" t="s">
        <v>398</v>
      </c>
    </row>
    <row r="36" spans="1:4" x14ac:dyDescent="0.3">
      <c r="A36" s="10">
        <v>24</v>
      </c>
      <c r="B36" s="15"/>
      <c r="D36" s="10" t="s">
        <v>398</v>
      </c>
    </row>
    <row r="37" spans="1:4" x14ac:dyDescent="0.3">
      <c r="A37" s="10">
        <v>25</v>
      </c>
      <c r="B37" s="15"/>
      <c r="D37" s="10" t="s">
        <v>398</v>
      </c>
    </row>
    <row r="38" spans="1:4" x14ac:dyDescent="0.3">
      <c r="A38" s="10">
        <v>26</v>
      </c>
      <c r="B38" s="11" t="s">
        <v>406</v>
      </c>
      <c r="D38" s="5" t="s">
        <v>430</v>
      </c>
    </row>
    <row r="40" spans="1:4" x14ac:dyDescent="0.3">
      <c r="A40" s="10" t="s">
        <v>449</v>
      </c>
      <c r="B40" s="10" t="s">
        <v>335</v>
      </c>
      <c r="C40" s="11" t="s">
        <v>334</v>
      </c>
      <c r="D40" s="10" t="s">
        <v>336</v>
      </c>
    </row>
    <row r="41" spans="1:4" x14ac:dyDescent="0.3">
      <c r="A41" s="10" t="s">
        <v>423</v>
      </c>
      <c r="B41" s="15" t="s">
        <v>394</v>
      </c>
      <c r="D41" s="10" t="s">
        <v>395</v>
      </c>
    </row>
    <row r="42" spans="1:4" x14ac:dyDescent="0.3">
      <c r="A42" s="10" t="s">
        <v>450</v>
      </c>
      <c r="B42" s="15"/>
      <c r="D42" s="10" t="s">
        <v>396</v>
      </c>
    </row>
    <row r="43" spans="1:4" x14ac:dyDescent="0.3">
      <c r="A43" s="10" t="s">
        <v>451</v>
      </c>
      <c r="B43" s="15"/>
      <c r="D43" s="10" t="s">
        <v>397</v>
      </c>
    </row>
    <row r="44" spans="1:4" x14ac:dyDescent="0.3">
      <c r="A44" s="10" t="s">
        <v>452</v>
      </c>
      <c r="B44" s="15"/>
      <c r="D44" s="10" t="s">
        <v>399</v>
      </c>
    </row>
    <row r="45" spans="1:4" x14ac:dyDescent="0.3">
      <c r="A45" s="10" t="s">
        <v>453</v>
      </c>
      <c r="B45" s="15"/>
      <c r="D45" s="10" t="s">
        <v>398</v>
      </c>
    </row>
    <row r="46" spans="1:4" x14ac:dyDescent="0.3">
      <c r="A46" s="10" t="s">
        <v>425</v>
      </c>
      <c r="B46" s="15"/>
      <c r="D46" s="10" t="s">
        <v>398</v>
      </c>
    </row>
    <row r="47" spans="1:4" x14ac:dyDescent="0.3">
      <c r="A47" s="10" t="s">
        <v>454</v>
      </c>
      <c r="B47" s="15"/>
      <c r="D47" s="10" t="s">
        <v>398</v>
      </c>
    </row>
    <row r="48" spans="1:4" x14ac:dyDescent="0.3">
      <c r="A48" s="10" t="s">
        <v>411</v>
      </c>
      <c r="B48" s="15"/>
      <c r="D48" s="10" t="s">
        <v>400</v>
      </c>
    </row>
    <row r="49" spans="1:4" x14ac:dyDescent="0.3">
      <c r="A49" s="10" t="s">
        <v>455</v>
      </c>
      <c r="B49" s="15"/>
      <c r="D49" s="10" t="s">
        <v>395</v>
      </c>
    </row>
    <row r="50" spans="1:4" x14ac:dyDescent="0.3">
      <c r="A50" s="10" t="s">
        <v>456</v>
      </c>
      <c r="B50" s="15"/>
      <c r="D50" s="10" t="s">
        <v>396</v>
      </c>
    </row>
    <row r="51" spans="1:4" x14ac:dyDescent="0.3">
      <c r="A51" s="10" t="s">
        <v>457</v>
      </c>
      <c r="B51" s="15"/>
      <c r="D51" s="10" t="s">
        <v>397</v>
      </c>
    </row>
    <row r="52" spans="1:4" x14ac:dyDescent="0.3">
      <c r="A52" s="10" t="s">
        <v>458</v>
      </c>
      <c r="B52" s="15"/>
      <c r="D52" s="10" t="s">
        <v>399</v>
      </c>
    </row>
    <row r="53" spans="1:4" x14ac:dyDescent="0.3">
      <c r="A53" s="10" t="s">
        <v>459</v>
      </c>
      <c r="B53" s="15"/>
      <c r="D53" s="10" t="s">
        <v>440</v>
      </c>
    </row>
    <row r="54" spans="1:4" x14ac:dyDescent="0.3">
      <c r="A54" s="10" t="s">
        <v>460</v>
      </c>
      <c r="B54" s="11" t="s">
        <v>461</v>
      </c>
      <c r="C54" s="10" t="s">
        <v>423</v>
      </c>
      <c r="D54" s="10" t="s">
        <v>403</v>
      </c>
    </row>
    <row r="55" spans="1:4" x14ac:dyDescent="0.3">
      <c r="C55" s="10" t="s">
        <v>472</v>
      </c>
      <c r="D55" s="11" t="s">
        <v>474</v>
      </c>
    </row>
    <row r="56" spans="1:4" x14ac:dyDescent="0.3">
      <c r="A56" s="10" t="s">
        <v>473</v>
      </c>
      <c r="B56" s="11" t="s">
        <v>461</v>
      </c>
      <c r="C56" s="10" t="s">
        <v>475</v>
      </c>
      <c r="D56" s="11" t="s">
        <v>477</v>
      </c>
    </row>
    <row r="57" spans="1:4" x14ac:dyDescent="0.3">
      <c r="C57" s="10" t="s">
        <v>476</v>
      </c>
      <c r="D57" s="10" t="s">
        <v>403</v>
      </c>
    </row>
    <row r="58" spans="1:4" x14ac:dyDescent="0.3">
      <c r="C58" s="10" t="s">
        <v>410</v>
      </c>
      <c r="D58" s="11" t="s">
        <v>477</v>
      </c>
    </row>
    <row r="59" spans="1:4" x14ac:dyDescent="0.3">
      <c r="A59" s="10" t="s">
        <v>478</v>
      </c>
      <c r="B59" s="11" t="s">
        <v>406</v>
      </c>
      <c r="D59" s="5" t="s">
        <v>430</v>
      </c>
    </row>
  </sheetData>
  <mergeCells count="4">
    <mergeCell ref="B2:B14"/>
    <mergeCell ref="B27:B29"/>
    <mergeCell ref="B34:B37"/>
    <mergeCell ref="B41:B53"/>
  </mergeCells>
  <phoneticPr fontId="5" type="noConversion"/>
  <pageMargins left="0.7" right="0.7" top="0.75" bottom="0.75" header="0.3" footer="0.3"/>
  <ignoredErrors>
    <ignoredError sqref="D2:D14 C18:D18 D41:D53 A41:A54 C20:D21 C19 C23:D37 C22 D1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6069-F81B-AA4A-932D-750A28E35A1B}">
  <dimension ref="A1:K46"/>
  <sheetViews>
    <sheetView topLeftCell="B25" workbookViewId="0">
      <selection activeCell="P26" sqref="P26"/>
    </sheetView>
  </sheetViews>
  <sheetFormatPr baseColWidth="10" defaultRowHeight="22" x14ac:dyDescent="0.3"/>
  <cols>
    <col min="1" max="1" width="30.83203125" style="5" bestFit="1" customWidth="1"/>
    <col min="2" max="2" width="50" style="5" bestFit="1" customWidth="1"/>
    <col min="3" max="3" width="10.83203125" style="5" customWidth="1"/>
    <col min="4" max="16384" width="10.83203125" style="5"/>
  </cols>
  <sheetData>
    <row r="1" spans="1:11" x14ac:dyDescent="0.3">
      <c r="A1" s="5" t="s">
        <v>448</v>
      </c>
      <c r="B1" s="5" t="s">
        <v>463</v>
      </c>
      <c r="C1" s="5" t="s">
        <v>446</v>
      </c>
      <c r="D1" s="8">
        <v>7</v>
      </c>
      <c r="E1" s="8">
        <v>6</v>
      </c>
      <c r="F1" s="8">
        <v>5</v>
      </c>
      <c r="G1" s="8">
        <v>4</v>
      </c>
      <c r="H1" s="8">
        <v>3</v>
      </c>
      <c r="I1" s="8">
        <v>2</v>
      </c>
      <c r="J1" s="8">
        <v>1</v>
      </c>
      <c r="K1" s="8">
        <v>0</v>
      </c>
    </row>
    <row r="2" spans="1:11" x14ac:dyDescent="0.3">
      <c r="A2" s="5" t="s">
        <v>445</v>
      </c>
      <c r="B2" s="14" t="s">
        <v>395</v>
      </c>
      <c r="C2" s="8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1</v>
      </c>
      <c r="K2" s="13">
        <v>0</v>
      </c>
    </row>
    <row r="3" spans="1:11" x14ac:dyDescent="0.3">
      <c r="A3" s="5" t="s">
        <v>445</v>
      </c>
      <c r="B3" s="14" t="s">
        <v>396</v>
      </c>
      <c r="C3" s="8">
        <v>1</v>
      </c>
      <c r="D3" s="13">
        <v>0</v>
      </c>
      <c r="E3" s="13">
        <v>0</v>
      </c>
      <c r="F3" s="13">
        <v>1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</row>
    <row r="4" spans="1:11" x14ac:dyDescent="0.3">
      <c r="A4" s="5" t="s">
        <v>445</v>
      </c>
      <c r="B4" s="14" t="s">
        <v>397</v>
      </c>
      <c r="C4" s="8">
        <v>2</v>
      </c>
      <c r="D4" s="13">
        <v>1</v>
      </c>
      <c r="E4" s="13">
        <v>1</v>
      </c>
      <c r="F4" s="13">
        <v>1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</row>
    <row r="5" spans="1:11" x14ac:dyDescent="0.3">
      <c r="A5" s="5" t="s">
        <v>445</v>
      </c>
      <c r="B5" s="14" t="s">
        <v>399</v>
      </c>
      <c r="C5" s="8">
        <v>3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1</v>
      </c>
      <c r="J5" s="13">
        <v>0</v>
      </c>
      <c r="K5" s="13">
        <v>0</v>
      </c>
    </row>
    <row r="6" spans="1:11" x14ac:dyDescent="0.3">
      <c r="A6" s="5" t="s">
        <v>445</v>
      </c>
      <c r="B6" s="14" t="s">
        <v>398</v>
      </c>
      <c r="C6" s="8">
        <v>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</row>
    <row r="7" spans="1:11" x14ac:dyDescent="0.3">
      <c r="A7" s="5" t="s">
        <v>445</v>
      </c>
      <c r="B7" s="14" t="s">
        <v>398</v>
      </c>
      <c r="C7" s="8">
        <v>5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</row>
    <row r="8" spans="1:11" x14ac:dyDescent="0.3">
      <c r="A8" s="5" t="s">
        <v>445</v>
      </c>
      <c r="B8" s="14" t="s">
        <v>398</v>
      </c>
      <c r="C8" s="8">
        <v>6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</row>
    <row r="9" spans="1:11" x14ac:dyDescent="0.3">
      <c r="A9" s="5" t="s">
        <v>445</v>
      </c>
      <c r="B9" s="14" t="s">
        <v>400</v>
      </c>
      <c r="C9" s="8">
        <v>7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1</v>
      </c>
      <c r="J9" s="13">
        <v>1</v>
      </c>
      <c r="K9" s="13">
        <v>0</v>
      </c>
    </row>
    <row r="10" spans="1:11" x14ac:dyDescent="0.3">
      <c r="A10" s="5" t="s">
        <v>445</v>
      </c>
      <c r="B10" s="14" t="s">
        <v>395</v>
      </c>
      <c r="C10" s="8">
        <v>8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0</v>
      </c>
    </row>
    <row r="11" spans="1:11" x14ac:dyDescent="0.3">
      <c r="A11" s="5" t="s">
        <v>445</v>
      </c>
      <c r="B11" s="14" t="s">
        <v>396</v>
      </c>
      <c r="C11" s="8">
        <v>9</v>
      </c>
      <c r="D11" s="13">
        <v>0</v>
      </c>
      <c r="E11" s="13">
        <v>0</v>
      </c>
      <c r="F11" s="13">
        <v>1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</row>
    <row r="12" spans="1:11" x14ac:dyDescent="0.3">
      <c r="A12" s="5" t="s">
        <v>445</v>
      </c>
      <c r="B12" s="14" t="s">
        <v>397</v>
      </c>
      <c r="C12" s="8">
        <v>10</v>
      </c>
      <c r="D12" s="13">
        <v>1</v>
      </c>
      <c r="E12" s="13">
        <v>1</v>
      </c>
      <c r="F12" s="13">
        <v>1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</row>
    <row r="13" spans="1:11" x14ac:dyDescent="0.3">
      <c r="A13" s="5" t="s">
        <v>445</v>
      </c>
      <c r="B13" s="14" t="s">
        <v>399</v>
      </c>
      <c r="C13" s="8">
        <v>11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1</v>
      </c>
      <c r="J13" s="13">
        <v>0</v>
      </c>
      <c r="K13" s="13">
        <v>0</v>
      </c>
    </row>
    <row r="14" spans="1:11" x14ac:dyDescent="0.3">
      <c r="A14" s="5" t="s">
        <v>445</v>
      </c>
      <c r="B14" s="14" t="s">
        <v>398</v>
      </c>
      <c r="C14" s="8">
        <v>12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</row>
    <row r="15" spans="1:11" x14ac:dyDescent="0.3">
      <c r="A15" s="5" t="s">
        <v>401</v>
      </c>
      <c r="B15" s="5" t="s">
        <v>464</v>
      </c>
      <c r="C15" s="8">
        <v>13</v>
      </c>
      <c r="D15" s="13">
        <v>0</v>
      </c>
      <c r="E15" s="16" t="s">
        <v>444</v>
      </c>
      <c r="F15" s="16"/>
      <c r="G15" s="16"/>
      <c r="H15" s="13">
        <v>1</v>
      </c>
      <c r="I15" s="13">
        <v>0</v>
      </c>
      <c r="J15" s="13">
        <v>0</v>
      </c>
      <c r="K15" s="13" t="s">
        <v>443</v>
      </c>
    </row>
    <row r="16" spans="1:11" x14ac:dyDescent="0.3">
      <c r="A16" s="5" t="s">
        <v>402</v>
      </c>
      <c r="B16" s="5" t="s">
        <v>442</v>
      </c>
      <c r="C16" s="8">
        <v>14</v>
      </c>
      <c r="D16" s="13">
        <v>0</v>
      </c>
      <c r="E16" s="13">
        <v>0</v>
      </c>
      <c r="F16" s="16" t="s">
        <v>441</v>
      </c>
      <c r="G16" s="16"/>
      <c r="H16" s="16" t="s">
        <v>480</v>
      </c>
      <c r="I16" s="16"/>
      <c r="J16" s="16"/>
      <c r="K16" s="16"/>
    </row>
    <row r="17" spans="1:11" x14ac:dyDescent="0.3">
      <c r="A17" s="5" t="s">
        <v>403</v>
      </c>
      <c r="B17" s="14" t="s">
        <v>440</v>
      </c>
      <c r="C17" s="8">
        <v>15</v>
      </c>
      <c r="D17" s="13">
        <v>1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</row>
    <row r="18" spans="1:11" x14ac:dyDescent="0.3">
      <c r="A18" s="5" t="s">
        <v>439</v>
      </c>
      <c r="B18" s="5" t="s">
        <v>465</v>
      </c>
      <c r="C18" s="8">
        <v>16</v>
      </c>
      <c r="D18" s="13" t="s">
        <v>438</v>
      </c>
      <c r="E18" s="17" t="s">
        <v>437</v>
      </c>
      <c r="F18" s="17"/>
      <c r="G18" s="17"/>
      <c r="H18" s="13" t="s">
        <v>436</v>
      </c>
      <c r="I18" s="17" t="s">
        <v>435</v>
      </c>
      <c r="J18" s="17"/>
      <c r="K18" s="17"/>
    </row>
    <row r="19" spans="1:11" x14ac:dyDescent="0.3">
      <c r="A19" s="5" t="s">
        <v>434</v>
      </c>
      <c r="B19" s="5" t="s">
        <v>467</v>
      </c>
      <c r="C19" s="8">
        <v>17</v>
      </c>
      <c r="D19" s="13">
        <v>0</v>
      </c>
      <c r="E19" s="13">
        <v>0</v>
      </c>
      <c r="F19" s="13">
        <v>0</v>
      </c>
      <c r="G19" s="13">
        <v>0</v>
      </c>
      <c r="H19" s="17" t="s">
        <v>421</v>
      </c>
      <c r="I19" s="17"/>
      <c r="J19" s="17"/>
      <c r="K19" s="17"/>
    </row>
    <row r="20" spans="1:11" x14ac:dyDescent="0.3">
      <c r="A20" s="5" t="s">
        <v>403</v>
      </c>
      <c r="B20" s="14" t="s">
        <v>398</v>
      </c>
      <c r="C20" s="8">
        <v>18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</row>
    <row r="21" spans="1:11" x14ac:dyDescent="0.3">
      <c r="A21" s="5" t="s">
        <v>403</v>
      </c>
      <c r="B21" s="14" t="s">
        <v>433</v>
      </c>
      <c r="C21" s="8">
        <v>19</v>
      </c>
      <c r="D21" s="13">
        <v>0</v>
      </c>
      <c r="E21" s="13">
        <v>0</v>
      </c>
      <c r="F21" s="13">
        <v>0</v>
      </c>
      <c r="G21" s="13">
        <v>0</v>
      </c>
      <c r="H21" s="13">
        <v>1</v>
      </c>
      <c r="I21" s="13">
        <v>1</v>
      </c>
      <c r="J21" s="13">
        <v>1</v>
      </c>
      <c r="K21" s="13">
        <v>0</v>
      </c>
    </row>
    <row r="22" spans="1:11" x14ac:dyDescent="0.3">
      <c r="A22" s="5" t="s">
        <v>403</v>
      </c>
      <c r="B22" s="14" t="s">
        <v>397</v>
      </c>
      <c r="C22" s="8">
        <v>20</v>
      </c>
      <c r="D22" s="13">
        <v>1</v>
      </c>
      <c r="E22" s="13">
        <v>1</v>
      </c>
      <c r="F22" s="13">
        <v>1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</row>
    <row r="23" spans="1:11" x14ac:dyDescent="0.3">
      <c r="A23" s="5" t="s">
        <v>432</v>
      </c>
      <c r="B23" s="5" t="s">
        <v>466</v>
      </c>
      <c r="C23" s="8">
        <v>21</v>
      </c>
      <c r="D23" s="13">
        <v>0</v>
      </c>
      <c r="E23" s="13">
        <v>0</v>
      </c>
      <c r="F23" s="13" t="s">
        <v>9</v>
      </c>
      <c r="G23" s="13">
        <v>0</v>
      </c>
      <c r="H23" s="13">
        <v>0</v>
      </c>
      <c r="I23" s="13">
        <v>0</v>
      </c>
      <c r="J23" s="13">
        <v>0</v>
      </c>
      <c r="K23" s="13" t="s">
        <v>8</v>
      </c>
    </row>
    <row r="24" spans="1:11" x14ac:dyDescent="0.3">
      <c r="A24" s="5" t="s">
        <v>403</v>
      </c>
      <c r="B24" s="14" t="s">
        <v>398</v>
      </c>
      <c r="C24" s="8">
        <v>22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</row>
    <row r="25" spans="1:11" x14ac:dyDescent="0.3">
      <c r="A25" s="5" t="s">
        <v>403</v>
      </c>
      <c r="B25" s="14" t="s">
        <v>431</v>
      </c>
      <c r="C25" s="8">
        <v>23</v>
      </c>
      <c r="D25" s="13">
        <v>1</v>
      </c>
      <c r="E25" s="13">
        <v>0</v>
      </c>
      <c r="F25" s="13">
        <v>0</v>
      </c>
      <c r="G25" s="13">
        <v>0</v>
      </c>
      <c r="H25" s="13">
        <v>1</v>
      </c>
      <c r="I25" s="13">
        <v>0</v>
      </c>
      <c r="J25" s="13">
        <v>0</v>
      </c>
      <c r="K25" s="13">
        <v>1</v>
      </c>
    </row>
    <row r="26" spans="1:11" x14ac:dyDescent="0.3">
      <c r="A26" s="5" t="s">
        <v>403</v>
      </c>
      <c r="B26" s="14" t="s">
        <v>398</v>
      </c>
      <c r="C26" s="8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</row>
    <row r="27" spans="1:11" x14ac:dyDescent="0.3">
      <c r="A27" s="5" t="s">
        <v>403</v>
      </c>
      <c r="B27" s="14" t="s">
        <v>398</v>
      </c>
      <c r="C27" s="8">
        <v>25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</row>
    <row r="28" spans="1:11" x14ac:dyDescent="0.3">
      <c r="A28" s="5" t="s">
        <v>406</v>
      </c>
      <c r="B28" s="5" t="s">
        <v>430</v>
      </c>
      <c r="C28" s="8">
        <v>26</v>
      </c>
      <c r="D28" s="13" t="s">
        <v>429</v>
      </c>
      <c r="E28" s="13" t="s">
        <v>429</v>
      </c>
      <c r="F28" s="13" t="s">
        <v>429</v>
      </c>
      <c r="G28" s="13" t="s">
        <v>429</v>
      </c>
      <c r="H28" s="13" t="s">
        <v>429</v>
      </c>
      <c r="I28" s="13" t="s">
        <v>429</v>
      </c>
      <c r="J28" s="13" t="s">
        <v>429</v>
      </c>
      <c r="K28" s="13" t="s">
        <v>429</v>
      </c>
    </row>
    <row r="30" spans="1:11" x14ac:dyDescent="0.3">
      <c r="A30" s="5" t="s">
        <v>449</v>
      </c>
      <c r="B30" s="5" t="s">
        <v>447</v>
      </c>
      <c r="C30" s="5" t="s">
        <v>446</v>
      </c>
      <c r="D30" s="8">
        <v>7</v>
      </c>
      <c r="E30" s="8">
        <v>6</v>
      </c>
      <c r="F30" s="8">
        <v>5</v>
      </c>
      <c r="G30" s="8">
        <v>4</v>
      </c>
      <c r="H30" s="8">
        <v>3</v>
      </c>
      <c r="I30" s="8">
        <v>2</v>
      </c>
      <c r="J30" s="8">
        <v>1</v>
      </c>
      <c r="K30" s="8">
        <v>0</v>
      </c>
    </row>
    <row r="31" spans="1:11" x14ac:dyDescent="0.3">
      <c r="A31" s="5" t="s">
        <v>445</v>
      </c>
      <c r="B31" s="14" t="s">
        <v>395</v>
      </c>
      <c r="C31" s="8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</row>
    <row r="32" spans="1:11" x14ac:dyDescent="0.3">
      <c r="A32" s="5" t="s">
        <v>445</v>
      </c>
      <c r="B32" s="14" t="s">
        <v>396</v>
      </c>
      <c r="C32" s="8">
        <v>1</v>
      </c>
      <c r="D32" s="13">
        <v>0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</row>
    <row r="33" spans="1:11" x14ac:dyDescent="0.3">
      <c r="A33" s="5" t="s">
        <v>445</v>
      </c>
      <c r="B33" s="14" t="s">
        <v>397</v>
      </c>
      <c r="C33" s="8">
        <v>2</v>
      </c>
      <c r="D33" s="13">
        <v>1</v>
      </c>
      <c r="E33" s="13">
        <v>1</v>
      </c>
      <c r="F33" s="13">
        <v>1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</row>
    <row r="34" spans="1:11" x14ac:dyDescent="0.3">
      <c r="A34" s="5" t="s">
        <v>445</v>
      </c>
      <c r="B34" s="14" t="s">
        <v>399</v>
      </c>
      <c r="C34" s="8">
        <v>3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1</v>
      </c>
      <c r="J34" s="13">
        <v>0</v>
      </c>
      <c r="K34" s="13">
        <v>0</v>
      </c>
    </row>
    <row r="35" spans="1:11" x14ac:dyDescent="0.3">
      <c r="A35" s="5" t="s">
        <v>445</v>
      </c>
      <c r="B35" s="14" t="s">
        <v>398</v>
      </c>
      <c r="C35" s="8">
        <v>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</row>
    <row r="36" spans="1:11" x14ac:dyDescent="0.3">
      <c r="A36" s="5" t="s">
        <v>445</v>
      </c>
      <c r="B36" s="14" t="s">
        <v>398</v>
      </c>
      <c r="C36" s="8">
        <v>5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</row>
    <row r="37" spans="1:11" x14ac:dyDescent="0.3">
      <c r="A37" s="5" t="s">
        <v>445</v>
      </c>
      <c r="B37" s="14" t="s">
        <v>398</v>
      </c>
      <c r="C37" s="8">
        <v>6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</row>
    <row r="38" spans="1:11" x14ac:dyDescent="0.3">
      <c r="A38" s="5" t="s">
        <v>445</v>
      </c>
      <c r="B38" s="14" t="s">
        <v>400</v>
      </c>
      <c r="C38" s="8">
        <v>7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0</v>
      </c>
    </row>
    <row r="39" spans="1:11" x14ac:dyDescent="0.3">
      <c r="A39" s="5" t="s">
        <v>445</v>
      </c>
      <c r="B39" s="14" t="s">
        <v>395</v>
      </c>
      <c r="C39" s="8">
        <v>8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1</v>
      </c>
      <c r="K39" s="13">
        <v>0</v>
      </c>
    </row>
    <row r="40" spans="1:11" x14ac:dyDescent="0.3">
      <c r="A40" s="5" t="s">
        <v>445</v>
      </c>
      <c r="B40" s="14" t="s">
        <v>396</v>
      </c>
      <c r="C40" s="8">
        <v>9</v>
      </c>
      <c r="D40" s="13">
        <v>0</v>
      </c>
      <c r="E40" s="13">
        <v>0</v>
      </c>
      <c r="F40" s="13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</row>
    <row r="41" spans="1:11" x14ac:dyDescent="0.3">
      <c r="A41" s="5" t="s">
        <v>445</v>
      </c>
      <c r="B41" s="14" t="s">
        <v>397</v>
      </c>
      <c r="C41" s="8">
        <v>10</v>
      </c>
      <c r="D41" s="13">
        <v>1</v>
      </c>
      <c r="E41" s="13">
        <v>1</v>
      </c>
      <c r="F41" s="13">
        <v>1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</row>
    <row r="42" spans="1:11" x14ac:dyDescent="0.3">
      <c r="A42" s="5" t="s">
        <v>445</v>
      </c>
      <c r="B42" s="14" t="s">
        <v>399</v>
      </c>
      <c r="C42" s="8">
        <v>11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1</v>
      </c>
      <c r="J42" s="13">
        <v>0</v>
      </c>
      <c r="K42" s="13">
        <v>0</v>
      </c>
    </row>
    <row r="43" spans="1:11" x14ac:dyDescent="0.3">
      <c r="A43" s="5" t="s">
        <v>445</v>
      </c>
      <c r="B43" s="10" t="s">
        <v>440</v>
      </c>
      <c r="C43" s="8">
        <v>12</v>
      </c>
      <c r="D43" s="13">
        <v>1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</row>
    <row r="44" spans="1:11" x14ac:dyDescent="0.3">
      <c r="A44" s="5" t="s">
        <v>461</v>
      </c>
      <c r="B44" s="10" t="s">
        <v>468</v>
      </c>
      <c r="C44" s="8">
        <v>13</v>
      </c>
      <c r="D44" s="13">
        <v>0</v>
      </c>
      <c r="E44" s="16" t="s">
        <v>461</v>
      </c>
      <c r="F44" s="16"/>
      <c r="G44" s="16"/>
      <c r="H44" s="16"/>
      <c r="I44" s="16"/>
      <c r="J44" s="16"/>
      <c r="K44" s="16"/>
    </row>
    <row r="45" spans="1:11" x14ac:dyDescent="0.3">
      <c r="A45" s="5" t="s">
        <v>461</v>
      </c>
      <c r="B45" s="10" t="s">
        <v>469</v>
      </c>
      <c r="C45" s="8">
        <v>14</v>
      </c>
      <c r="D45" s="16" t="s">
        <v>471</v>
      </c>
      <c r="E45" s="16"/>
      <c r="F45" s="16"/>
      <c r="G45" s="16"/>
      <c r="H45" s="13">
        <v>0</v>
      </c>
      <c r="I45" s="13">
        <v>0</v>
      </c>
      <c r="J45" s="16" t="s">
        <v>470</v>
      </c>
      <c r="K45" s="16"/>
    </row>
    <row r="46" spans="1:11" x14ac:dyDescent="0.3">
      <c r="A46" s="5" t="s">
        <v>406</v>
      </c>
      <c r="B46" s="5" t="s">
        <v>430</v>
      </c>
      <c r="C46" s="8">
        <v>15</v>
      </c>
      <c r="D46" s="13" t="s">
        <v>429</v>
      </c>
      <c r="E46" s="13" t="s">
        <v>429</v>
      </c>
      <c r="F46" s="13" t="s">
        <v>429</v>
      </c>
      <c r="G46" s="13" t="s">
        <v>429</v>
      </c>
      <c r="H46" s="13" t="s">
        <v>429</v>
      </c>
      <c r="I46" s="13" t="s">
        <v>429</v>
      </c>
      <c r="J46" s="13" t="s">
        <v>429</v>
      </c>
      <c r="K46" s="13" t="s">
        <v>429</v>
      </c>
    </row>
  </sheetData>
  <mergeCells count="9">
    <mergeCell ref="E44:K44"/>
    <mergeCell ref="D45:G45"/>
    <mergeCell ref="J45:K45"/>
    <mergeCell ref="E15:G15"/>
    <mergeCell ref="F16:G16"/>
    <mergeCell ref="H16:K16"/>
    <mergeCell ref="E18:G18"/>
    <mergeCell ref="I18:K18"/>
    <mergeCell ref="H19:K19"/>
  </mergeCells>
  <pageMargins left="0.7" right="0.7" top="0.75" bottom="0.75" header="0.3" footer="0.3"/>
  <ignoredErrors>
    <ignoredError sqref="B3:B14 B16:B17 B20:B22 B24:B2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9E10-A48F-914B-916C-C162C22BF239}">
  <dimension ref="A1"/>
  <sheetViews>
    <sheetView workbookViewId="0"/>
  </sheetViews>
  <sheetFormatPr baseColWidth="10" defaultRowHeight="16" x14ac:dyDescent="0.2"/>
  <cols>
    <col min="1" max="1" width="40.83203125" customWidth="1"/>
  </cols>
  <sheetData>
    <row r="1" ht="16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AUTO</vt:lpstr>
      <vt:lpstr>HEAT</vt:lpstr>
      <vt:lpstr>COOL</vt:lpstr>
      <vt:lpstr>DRY</vt:lpstr>
      <vt:lpstr>EXTRA</vt:lpstr>
      <vt:lpstr>DECODE</vt:lpstr>
      <vt:lpstr>DECODEMAP</vt:lpstr>
      <vt:lpstr>Re_test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Simba Chan</dc:creator>
  <cp:lastModifiedBy>Chan, Simba Chan</cp:lastModifiedBy>
  <dcterms:created xsi:type="dcterms:W3CDTF">2025-06-19T11:03:44Z</dcterms:created>
  <dcterms:modified xsi:type="dcterms:W3CDTF">2025-06-24T12:03:04Z</dcterms:modified>
</cp:coreProperties>
</file>